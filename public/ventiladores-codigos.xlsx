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MINA - MA\"/>
    </mc:Choice>
  </mc:AlternateContent>
  <xr:revisionPtr revIDLastSave="0" documentId="13_ncr:1_{47520DF5-A5E7-40F8-A8CE-AE6928201CF8}" xr6:coauthVersionLast="47" xr6:coauthVersionMax="47" xr10:uidLastSave="{00000000-0000-0000-0000-000000000000}"/>
  <bookViews>
    <workbookView xWindow="-108" yWindow="-108" windowWidth="23256" windowHeight="13896" xr2:uid="{4EE0F092-C2A3-407E-8043-27EB738EF5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3" i="1"/>
  <c r="F14" i="1"/>
  <c r="F3" i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4" i="1"/>
  <c r="D62" i="1"/>
  <c r="D63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44" i="1"/>
  <c r="D145" i="1"/>
  <c r="D136" i="1"/>
  <c r="D137" i="1"/>
  <c r="D138" i="1"/>
  <c r="D139" i="1"/>
  <c r="D140" i="1"/>
  <c r="D141" i="1"/>
  <c r="D142" i="1"/>
  <c r="D143" i="1"/>
  <c r="D132" i="1"/>
  <c r="D133" i="1"/>
  <c r="D134" i="1"/>
  <c r="D135" i="1"/>
  <c r="D1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2" i="1"/>
</calcChain>
</file>

<file path=xl/sharedStrings.xml><?xml version="1.0" encoding="utf-8"?>
<sst xmlns="http://schemas.openxmlformats.org/spreadsheetml/2006/main" count="197" uniqueCount="197">
  <si>
    <t>Código</t>
  </si>
  <si>
    <t>Descrição</t>
  </si>
  <si>
    <t xml:space="preserve">MESA 50 CM 127 V PRETO </t>
  </si>
  <si>
    <t xml:space="preserve">MESA 50 CM 127 V BRANCO </t>
  </si>
  <si>
    <t xml:space="preserve">MESA 50 CM 127 V AÇAI </t>
  </si>
  <si>
    <t xml:space="preserve">MESA 50 CM 127 V VERMELHO </t>
  </si>
  <si>
    <t xml:space="preserve">MESA 50 CM 127 V CAPPUCCINO </t>
  </si>
  <si>
    <t xml:space="preserve">MESA 50 CM 127 V OURO </t>
  </si>
  <si>
    <t xml:space="preserve">MESA 50 CM 127 V BRONZE </t>
  </si>
  <si>
    <t xml:space="preserve">MESA 50 CM 127 V PRATA </t>
  </si>
  <si>
    <t xml:space="preserve">MESA 50 CM 127 V TITANIUM </t>
  </si>
  <si>
    <t>MESA 50 CM 127 V DARK</t>
  </si>
  <si>
    <t>MESA 50 CM 127 V ROSA</t>
  </si>
  <si>
    <t xml:space="preserve">PAREDE 50 CM 127 V PRETO </t>
  </si>
  <si>
    <t xml:space="preserve">PAREDE 50 CM 127 V BRANCO </t>
  </si>
  <si>
    <t>PAREDE 50 CM 127 V AÇAI</t>
  </si>
  <si>
    <t xml:space="preserve">PAREDE 50 CM 127 V BRONZE </t>
  </si>
  <si>
    <t xml:space="preserve">PAREDE 50 CM 127 V PRATA </t>
  </si>
  <si>
    <t xml:space="preserve">PAREDE 50 CM 127 V TITANIUM </t>
  </si>
  <si>
    <t>PAREDE 50 CM 127 V DARK</t>
  </si>
  <si>
    <t xml:space="preserve">PAREDE 60 CM 127 V PRETO </t>
  </si>
  <si>
    <t>PAREDE 60 CM 127 V BRANCO</t>
  </si>
  <si>
    <t>PAREDE 60 CM 127 V AÇAI</t>
  </si>
  <si>
    <t xml:space="preserve">PAREDE 60 CM 127 V BRONZE </t>
  </si>
  <si>
    <t xml:space="preserve">PAREDE 60 CM 127 V PRATA </t>
  </si>
  <si>
    <t>PAREDE 60 CM 127 V TITANIUM</t>
  </si>
  <si>
    <t>PAREDE 60 CM 127 V DARK</t>
  </si>
  <si>
    <t>COLUNA 50 CM 127 V PRETO</t>
  </si>
  <si>
    <t xml:space="preserve">COLUNA 50 CM 127 V BRANCO </t>
  </si>
  <si>
    <t xml:space="preserve">COLUNA 50 CM 127 V AÇAI </t>
  </si>
  <si>
    <t xml:space="preserve">COLUNA 50 CM 127 V VERMELHO </t>
  </si>
  <si>
    <t xml:space="preserve">COLUNA 50 CM 127 V CAPPUCCINO </t>
  </si>
  <si>
    <t xml:space="preserve">COLUNA 50 CM 127 V OURO </t>
  </si>
  <si>
    <t xml:space="preserve">COLUNA 50 CM 127 V BRONZE </t>
  </si>
  <si>
    <t xml:space="preserve">COLUNA 50 CM 127 V PRATA </t>
  </si>
  <si>
    <t xml:space="preserve">COLUNA 50 CM 127 V TITANIUM </t>
  </si>
  <si>
    <t>COLUNA 50 CM 127 V DARK</t>
  </si>
  <si>
    <t>COLUNA 50 CM 127 V ROSA</t>
  </si>
  <si>
    <t>COLUNA 60 CM 127 V PRETO</t>
  </si>
  <si>
    <t>COLUNA 60 CM 127 V BRANCO</t>
  </si>
  <si>
    <t xml:space="preserve">COLUNA 60 CM 127 V AÇAI </t>
  </si>
  <si>
    <t xml:space="preserve">COLUNA 60 CM 127 V VERMELHO </t>
  </si>
  <si>
    <t xml:space="preserve">COLUNA 60 CM 127 V OURO </t>
  </si>
  <si>
    <t xml:space="preserve">COLUNA 60 CM 127 V BRONZE </t>
  </si>
  <si>
    <t xml:space="preserve">COLUNA 60 CM 127 V PRATA </t>
  </si>
  <si>
    <t xml:space="preserve">COLUNA 60 CM 127 V TITANIUM </t>
  </si>
  <si>
    <t>COLUNA 60 CM 127 V DARK</t>
  </si>
  <si>
    <t xml:space="preserve">PRACTICE 50 CM 127 V PRETO </t>
  </si>
  <si>
    <t xml:space="preserve">PRACTICE 50 CM 127 V BRANCO </t>
  </si>
  <si>
    <t xml:space="preserve">PRACTICE 50 CM 127 V ACAI </t>
  </si>
  <si>
    <t xml:space="preserve">PRACTICE 50 CM 127 V BRONZE </t>
  </si>
  <si>
    <t xml:space="preserve">PRACTICE 50 CM 127 V PRATA </t>
  </si>
  <si>
    <t>PRACTICE 50 CM 127 V TITANIUM</t>
  </si>
  <si>
    <t>PRACTICE 50 CM 127 V DARK</t>
  </si>
  <si>
    <t>PRACTICE 60 CM 127 V PRETO</t>
  </si>
  <si>
    <t xml:space="preserve">PRACTICE 60 CM 127 V BRANCO </t>
  </si>
  <si>
    <t xml:space="preserve">PRACTICE 60 CM 127 V ACAI </t>
  </si>
  <si>
    <t xml:space="preserve">PRACTICE 60 CM 127 V BRONZE </t>
  </si>
  <si>
    <t>PRACTICE 60 CM 127 V PRATA</t>
  </si>
  <si>
    <t xml:space="preserve">PRACTICE 60 CM 127 V TITANIUM </t>
  </si>
  <si>
    <t>PRACTICE 60 CM 127 V DARK</t>
  </si>
  <si>
    <t xml:space="preserve">MESA 4.3 CM 127 V AÇAI </t>
  </si>
  <si>
    <t>MESA 4.3 CM 127 V TITAMIUM</t>
  </si>
  <si>
    <t>PAREDE 4.3 CM 127 V TITANIUM</t>
  </si>
  <si>
    <t xml:space="preserve">COLUNA 4.3 CM 127 V AÇAI </t>
  </si>
  <si>
    <t>COLUNA 4.3 CM 127 V VERMELHO</t>
  </si>
  <si>
    <t xml:space="preserve">COLUNA 4.3 CM 127 V BRONZE </t>
  </si>
  <si>
    <t xml:space="preserve">COLUNA 4.3 CM 127 V PRATA </t>
  </si>
  <si>
    <t xml:space="preserve">COLUNA 4.3 CM 127V TITANIUM </t>
  </si>
  <si>
    <t xml:space="preserve">TWISTER PAREDE PRETO 127 V 60 CM </t>
  </si>
  <si>
    <t xml:space="preserve">TWISTER COLUNA PRETO 127 V 60 CM </t>
  </si>
  <si>
    <t xml:space="preserve">MESA 50 CM 220 V PRETO </t>
  </si>
  <si>
    <t xml:space="preserve">MESA 50 CM 220 V BRANCO </t>
  </si>
  <si>
    <t xml:space="preserve">MESA 50 CM 220 V AÇAI </t>
  </si>
  <si>
    <t xml:space="preserve">MESA 50 CM 220 V VERMELHO </t>
  </si>
  <si>
    <t>MESA 50 CM 220 V CAPPUCCINO</t>
  </si>
  <si>
    <t xml:space="preserve">MESA 50 CM 220 V OURO </t>
  </si>
  <si>
    <t xml:space="preserve">MESA 50 CM 220 V BRONZE </t>
  </si>
  <si>
    <t xml:space="preserve">MESA 50 CM 220 V PRATA </t>
  </si>
  <si>
    <t xml:space="preserve">MESA 50 CM 220 V TITANIUM </t>
  </si>
  <si>
    <t>MESA 50 CM 220 V DARK</t>
  </si>
  <si>
    <t>MESA 50 CM 220 V ROSA</t>
  </si>
  <si>
    <t xml:space="preserve">PAREDE 50 CM 220 V PRETO </t>
  </si>
  <si>
    <t xml:space="preserve">PAREDE 50 CM 220 V BRANCO </t>
  </si>
  <si>
    <t xml:space="preserve">PAREDE 50 CM 220 V AÇAI </t>
  </si>
  <si>
    <t xml:space="preserve">PAREDE 50 CM 220 V BRONZE </t>
  </si>
  <si>
    <t xml:space="preserve">PAREDE 50 CM 220 V PRATA </t>
  </si>
  <si>
    <t xml:space="preserve">PAREDE 50 CM 220 V TITANIUM </t>
  </si>
  <si>
    <t>PAREDE 50 CM 220 V DARK</t>
  </si>
  <si>
    <t xml:space="preserve">PAREDE 60 CM 220 V PRETO </t>
  </si>
  <si>
    <t>PAREDE 60 CM 220 V BRANCO</t>
  </si>
  <si>
    <t>PAREDE 60 CM 220 V AÇAI</t>
  </si>
  <si>
    <t xml:space="preserve">PAREDE 60 CM 220 V BRONZE </t>
  </si>
  <si>
    <t xml:space="preserve">PAREDE 60 CM 220 V PRATA </t>
  </si>
  <si>
    <t>PAREDE 60 CM 220 V TITANIUM</t>
  </si>
  <si>
    <t>PAREDE 60 CM 220 V DARK</t>
  </si>
  <si>
    <t xml:space="preserve">COLUNA 50 CM 220 V PRETO </t>
  </si>
  <si>
    <t xml:space="preserve">COLUNA 50 CM 220 V BRANCO </t>
  </si>
  <si>
    <t xml:space="preserve">COLUNA 50 CM 220 V AÇAI </t>
  </si>
  <si>
    <t xml:space="preserve">COLUNA 50 CM 220 V VERMELHO </t>
  </si>
  <si>
    <t xml:space="preserve">COLUNA 50 CM 220 V CAPPUCCINO </t>
  </si>
  <si>
    <t>COLUNA 50 CM 220 V OURO</t>
  </si>
  <si>
    <t>COLUNA 50 CM 220 V BRONZE</t>
  </si>
  <si>
    <t>COLUNA 50 CM 220 V PRATA</t>
  </si>
  <si>
    <t xml:space="preserve">COLUNA 50 CM 220 V TITANIUM </t>
  </si>
  <si>
    <t>COLUNA 50 CM 220 V DARK</t>
  </si>
  <si>
    <t>COLUNA 50 CM 220 V ROSA</t>
  </si>
  <si>
    <t>COLUNA 60 CM 220 V PRETO</t>
  </si>
  <si>
    <t>COLUNA 60 CM 220 V BRANCO</t>
  </si>
  <si>
    <t xml:space="preserve">COLUNA 60 CM 220 V AÇAI </t>
  </si>
  <si>
    <t xml:space="preserve">COLUNA 60 CM 220 V VERMELHO </t>
  </si>
  <si>
    <t xml:space="preserve">COLUNA 60 CM 220 V OURO </t>
  </si>
  <si>
    <t xml:space="preserve">COLUNA 60 CM 220 V BRONZE </t>
  </si>
  <si>
    <t xml:space="preserve">COLUNA 60 CM 220 V PRATA </t>
  </si>
  <si>
    <t xml:space="preserve">COLUNA 60 CM 220 V TITANIUM </t>
  </si>
  <si>
    <t>COLUNA 60 CM 220 V DARK</t>
  </si>
  <si>
    <t xml:space="preserve">PRACTICE 50 CM 220 V PRETO </t>
  </si>
  <si>
    <t xml:space="preserve">PRACTICE 50 CM 220 V BRANCO </t>
  </si>
  <si>
    <t xml:space="preserve">PRACTICE 50 CM 220 V ACAI </t>
  </si>
  <si>
    <t xml:space="preserve">PRACTICE 50 CM 220 V BRONZE </t>
  </si>
  <si>
    <t xml:space="preserve">PRACTICE 50 CM 220 V PRATA </t>
  </si>
  <si>
    <t xml:space="preserve">PRACTICE 50 CM 220 V TITANIUM </t>
  </si>
  <si>
    <t>PRACTICE 50 CM 220 V DARK</t>
  </si>
  <si>
    <t>PRACTICE 60 CM 220 V PRETO</t>
  </si>
  <si>
    <t xml:space="preserve">PRACTICE 60 CM 220 V BRANCO </t>
  </si>
  <si>
    <t xml:space="preserve">PRACTICE 60 CM 220 V ACAI </t>
  </si>
  <si>
    <t xml:space="preserve">PRACTICE 60 CM 220 V BRONZE </t>
  </si>
  <si>
    <t>PRACTICE 60 CM 220 V PRATA</t>
  </si>
  <si>
    <t xml:space="preserve">PRACTICE 60 CM 220 V TITANIUM </t>
  </si>
  <si>
    <t>PRACTICE 60 CM 220 V DARK</t>
  </si>
  <si>
    <t>MESA 4.3 CM 220 V AÇAI</t>
  </si>
  <si>
    <t>MESA 4.3 CM 220 V VERMELHO</t>
  </si>
  <si>
    <t xml:space="preserve">MESA 4.3 CM 220 V BRONZE </t>
  </si>
  <si>
    <t>MESA 4.3 CM 220 V PRATA</t>
  </si>
  <si>
    <t xml:space="preserve">MESA 4.3 CM 220 V TITANIUM </t>
  </si>
  <si>
    <t>PAREDE 4.3 CM 220 V TITANIUM</t>
  </si>
  <si>
    <t>COLUNA 4.3 CM 220V AÇAI</t>
  </si>
  <si>
    <t>COLUNA 4.3 CM 220V VERMELHO</t>
  </si>
  <si>
    <t xml:space="preserve">COLUNA 4.3 CM 220V BRONZE </t>
  </si>
  <si>
    <t>COLUNA 4.3 CM 220V PRATA</t>
  </si>
  <si>
    <t xml:space="preserve">COLUNA 4.3 CM 220V TITANIUM </t>
  </si>
  <si>
    <t xml:space="preserve">TWISTER PAREDE PRETO 220 V 60 CM </t>
  </si>
  <si>
    <t xml:space="preserve">TWISTER COLUNA PRETO 220 V 60 CM </t>
  </si>
  <si>
    <t>MESA 50 CM BIVOLT PRETO</t>
  </si>
  <si>
    <t>MESA 50 CM BIVOLT BRANCO</t>
  </si>
  <si>
    <t>MESA 50 CM BIVOLT AÇAI</t>
  </si>
  <si>
    <t xml:space="preserve">MESA 50 CM BIVOLT VERMELHO </t>
  </si>
  <si>
    <t xml:space="preserve">MESA 50 CM BIVOLT CAPPUCCINO </t>
  </si>
  <si>
    <t>MESA 50 CM BIVOLT OURO</t>
  </si>
  <si>
    <t xml:space="preserve">MESA 50 CM BIVOLT BRONZE </t>
  </si>
  <si>
    <t xml:space="preserve">MESA 50 CM BIVOLT PRATA </t>
  </si>
  <si>
    <t xml:space="preserve">MESA 50 CM BIVOLT TITANIUM </t>
  </si>
  <si>
    <t>MESA 50 CM BIVOLT DARK</t>
  </si>
  <si>
    <t>MESA 50 CM BIVOLT ROSA</t>
  </si>
  <si>
    <t>PAREDE 50 CM BIVOLT  PRETO</t>
  </si>
  <si>
    <t xml:space="preserve">PAREDE 50 CM BIVOLT BRANCO </t>
  </si>
  <si>
    <t xml:space="preserve">PAREDE 50 CM BIVOLT AÇAI </t>
  </si>
  <si>
    <t xml:space="preserve">PAREDE 50 CM BIVOLT BRONZE </t>
  </si>
  <si>
    <t xml:space="preserve">PAREDE 50 CM BIVOLT PRATA </t>
  </si>
  <si>
    <t xml:space="preserve">PAREDE 50 CM BIVOLT TITANIUM </t>
  </si>
  <si>
    <t>PAREDE 50 CM BIVOLT DARK</t>
  </si>
  <si>
    <t xml:space="preserve">PAREDE 60 CM BIVOLT PRETO </t>
  </si>
  <si>
    <t>PAREDE 60 CM BIVOLT BRANCO</t>
  </si>
  <si>
    <t>PAREDE 60 CM BIVOLT AÇAI</t>
  </si>
  <si>
    <t xml:space="preserve">PAREDE 60 CM BIVOLT BRONZE </t>
  </si>
  <si>
    <t xml:space="preserve">PAREDE 60 CM BIVOLT PRATA </t>
  </si>
  <si>
    <t>PAREDE 60 CM BIVOLT TITANIUM</t>
  </si>
  <si>
    <t>PAREDE 60 CM BIVOLT DARK</t>
  </si>
  <si>
    <t xml:space="preserve">COLUNA 50 CM BIVOLT PRETO </t>
  </si>
  <si>
    <t xml:space="preserve">COLUNA 50 CM BIVOLT BRANCO </t>
  </si>
  <si>
    <t>COLUNA 50 CM BIVOLT AÇAI</t>
  </si>
  <si>
    <t xml:space="preserve">COLUNA 50 CM BIVOLT VERMELHO </t>
  </si>
  <si>
    <t xml:space="preserve">COLUNA 50 CM BIVOLT CAPPUCCINO </t>
  </si>
  <si>
    <t xml:space="preserve">COLUNA 50 CM BIVOLT OURO </t>
  </si>
  <si>
    <t xml:space="preserve">COLUNA 50 CM BIVOLT BRONZE </t>
  </si>
  <si>
    <t xml:space="preserve">COLUNA 50 CM BIVOLT PRATA </t>
  </si>
  <si>
    <t xml:space="preserve">COLUNA 50 CM BIVOLT TITANIUM </t>
  </si>
  <si>
    <t>COLUNA 50 CM BIVOLT DARK</t>
  </si>
  <si>
    <t>COLUNA 50 CM BIVOLT ROSA</t>
  </si>
  <si>
    <t>COLUNA 60 CM BIVOLT PRETO</t>
  </si>
  <si>
    <t>COLUNA 60 CM BIVOLT BRANCO</t>
  </si>
  <si>
    <t xml:space="preserve">COLUNA 60 CM BIVOLT AÇAI </t>
  </si>
  <si>
    <t xml:space="preserve">COLUNA 60 CM BIVOLT VERMELHO </t>
  </si>
  <si>
    <t xml:space="preserve">COLUNA 60 CM BIVOLT OURO </t>
  </si>
  <si>
    <t xml:space="preserve">COLUNA 60 CM BIVOLT BRONZE </t>
  </si>
  <si>
    <t xml:space="preserve">COLUNA 60 CM BIVOLT PRATA </t>
  </si>
  <si>
    <t xml:space="preserve">COLUNA 60 CM BIVOLT TITANIUM </t>
  </si>
  <si>
    <t>COLUNA 60 CM BIVOLT DARK</t>
  </si>
  <si>
    <t>PAREDE TWISTER 60 CM BIVOLT PRETO</t>
  </si>
  <si>
    <t>COLUNA TWISTER 60 CM BIVOLT PRETO</t>
  </si>
  <si>
    <t xml:space="preserve">Tipo </t>
  </si>
  <si>
    <t xml:space="preserve">Tamanho </t>
  </si>
  <si>
    <t xml:space="preserve">Tensão </t>
  </si>
  <si>
    <t>Cor</t>
  </si>
  <si>
    <t xml:space="preserve">MESA 4.3 CM 127 V PRATA  </t>
  </si>
  <si>
    <t>MESA 4.3 CM 127 V BRONZE</t>
  </si>
  <si>
    <t xml:space="preserve">MESA 4.3 CM 127 V VERMELHO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</si>
</sst>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9.5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7E7E7E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3" fontId="2" fillId="3" borderId="2" xfId="0" applyNumberFormat="1" applyFont="1" applyFill="1" applyBorder="1"/>
    <xf numFmtId="0" fontId="2" fillId="4" borderId="2" xfId="0" applyFont="1" applyFill="1" applyBorder="1"/>
    <xf numFmtId="0" fontId="2" fillId="0" borderId="2" xfId="0" applyFont="1" applyBorder="1"/>
    <xf numFmtId="3" fontId="2" fillId="5" borderId="2" xfId="0" applyNumberFormat="1" applyFont="1" applyFill="1" applyBorder="1"/>
    <xf numFmtId="3" fontId="2" fillId="6" borderId="2" xfId="0" applyNumberFormat="1" applyFont="1" applyFill="1" applyBorder="1"/>
    <xf numFmtId="3" fontId="2" fillId="6" borderId="3" xfId="0" applyNumberFormat="1" applyFont="1" applyFill="1" applyBorder="1"/>
    <xf numFmtId="0" fontId="2" fillId="0" borderId="3" xfId="0" applyFont="1" applyBorder="1"/>
    <xf numFmtId="3" fontId="2" fillId="7" borderId="2" xfId="0" applyNumberFormat="1" applyFont="1" applyFill="1" applyBorder="1"/>
    <xf numFmtId="3" fontId="2" fillId="8" borderId="2" xfId="0" applyNumberFormat="1" applyFont="1" applyFill="1" applyBorder="1"/>
    <xf numFmtId="3" fontId="2" fillId="9" borderId="2" xfId="0" applyNumberFormat="1" applyFont="1" applyFill="1" applyBorder="1"/>
    <xf numFmtId="3" fontId="2" fillId="10" borderId="2" xfId="0" applyNumberFormat="1" applyFont="1" applyFill="1" applyBorder="1"/>
    <xf numFmtId="0" fontId="2" fillId="0" borderId="4" xfId="0" applyFont="1" applyBorder="1"/>
    <xf numFmtId="3" fontId="2" fillId="11" borderId="2" xfId="0" applyNumberFormat="1" applyFont="1" applyFill="1" applyBorder="1"/>
    <xf numFmtId="3" fontId="2" fillId="12" borderId="2" xfId="0" applyNumberFormat="1" applyFont="1" applyFill="1" applyBorder="1"/>
    <xf numFmtId="3" fontId="2" fillId="13" borderId="2" xfId="0" applyNumberFormat="1" applyFont="1" applyFill="1" applyBorder="1"/>
    <xf numFmtId="3" fontId="2" fillId="14" borderId="2" xfId="0" applyNumberFormat="1" applyFont="1" applyFill="1" applyBorder="1"/>
    <xf numFmtId="3" fontId="3" fillId="15" borderId="0" xfId="0" applyNumberFormat="1" applyFont="1" applyFill="1"/>
    <xf numFmtId="3" fontId="3" fillId="16" borderId="0" xfId="0" applyNumberFormat="1" applyFont="1" applyFill="1"/>
    <xf numFmtId="3" fontId="2" fillId="17" borderId="2" xfId="0" applyNumberFormat="1" applyFont="1" applyFill="1" applyBorder="1"/>
    <xf numFmtId="3" fontId="2" fillId="18" borderId="2" xfId="0" applyNumberFormat="1" applyFont="1" applyFill="1" applyBorder="1"/>
    <xf numFmtId="3" fontId="2" fillId="19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44F2-DC31-4E81-878D-840A40B9AFA8}">
  <dimension ref="A1:F192"/>
  <sheetViews>
    <sheetView tabSelected="1" workbookViewId="0">
      <selection activeCell="I8" sqref="I8"/>
    </sheetView>
  </sheetViews>
  <sheetFormatPr defaultRowHeight="14.4" x14ac:dyDescent="0.3"/>
  <cols>
    <col min="1" max="1" width="13.44140625" customWidth="1"/>
    <col min="2" max="2" width="32.109375" bestFit="1" customWidth="1"/>
  </cols>
  <sheetData>
    <row r="1" spans="1:6" x14ac:dyDescent="0.3">
      <c r="A1" s="1" t="s">
        <v>0</v>
      </c>
      <c r="B1" s="1" t="s">
        <v>1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 x14ac:dyDescent="0.3">
      <c r="A2" s="2">
        <v>100001</v>
      </c>
      <c r="B2" s="3" t="s">
        <v>2</v>
      </c>
      <c r="C2" t="str">
        <f>IF(LEFT(B2,4)="MESA","Mesa",
IF(LEFT(B2,6)="PAREDE","Parede",
IF(LEFT(B2,6)="COLUNA","Coluna",
IF(LEFT(B2,7)="PRACTICE","Practice",
"Twister"))))</f>
        <v>Mesa</v>
      </c>
      <c r="D2">
        <f t="shared" ref="D2:D61" si="0">IF(ISNUMBER(FIND("4.3",B2)),43,
IF(ISNUMBER(FIND("50",B2)),50,
IF(ISNUMBER(FIND("60",B2)),60,"")))</f>
        <v>50</v>
      </c>
      <c r="E2" t="str">
        <f>IF(ISNUMBER(FIND("220",B2)),"220V",
IF(ISNUMBER(FIND("127",B2)),"127V",
IF(ISNUMBER(FIND("BIVOLT",B2)),"Bivolt","")))</f>
        <v>127V</v>
      </c>
      <c r="F2" t="str">
        <f>IF(ISNUMBER(FIND("PRETO",B2)),"Preto",
IF(ISNUMBER(FIND("TITANIUM",B2)),"Titanium",
IF(ISNUMBER(FIND("CAPPUCCINO",B2)),"Cappuccino",
IF(ISNUMBER(FIND("DARK",B2)),"Dark",
IF(ISNUMBER(FIND("BRANCO",B2)),"Branco",
IF(ISNUMBER(FIND("BRONZE",B2)),"Bronze",
IF(ISNUMBER(FIND("PRATA",B2)),"Prata",
IF(ISNUMBER(FIND("AÇAI",B2)),"Açai",
IF(ISNUMBER(FIND("VERMELHO",B2)),"Vermelho",
IF(ISNUMBER(FIND("OURO",B2)),"Ouro",
""))))))))))</f>
        <v>Preto</v>
      </c>
    </row>
    <row r="3" spans="1:6" x14ac:dyDescent="0.3">
      <c r="A3" s="2">
        <v>100002</v>
      </c>
      <c r="B3" s="3" t="s">
        <v>3</v>
      </c>
      <c r="C3" t="str">
        <f t="shared" ref="C3:C66" si="1">IF(LEFT(B3,4)="MESA","Mesa",
IF(LEFT(B3,6)="PAREDE","Parede",
IF(LEFT(B3,6)="COLUNA","Coluna",
IF(LEFT(B3,7)="PRACTICE","Practice",
"Twister"))))</f>
        <v>Mesa</v>
      </c>
      <c r="D3">
        <f t="shared" si="0"/>
        <v>50</v>
      </c>
      <c r="E3" t="str">
        <f t="shared" ref="E3:E66" si="2">IF(ISNUMBER(FIND("220",B3)),"220V",
IF(ISNUMBER(FIND("127",B3)),"127V",
IF(ISNUMBER(FIND("BIVOLT",B3)),"Bivolt","")))</f>
        <v>127V</v>
      </c>
      <c r="F3" t="str">
        <f t="shared" ref="F3:F66" si="3">IF(ISNUMBER(FIND("PRETO",B3)),"Preto",
IF(ISNUMBER(FIND("TITANIUM",B3)),"Titanium",
IF(ISNUMBER(FIND("CAPPUCCINO",B3)),"Cappuccino",
IF(ISNUMBER(FIND("DARK",B3)),"Dark",
IF(ISNUMBER(FIND("BRANCO",B3)),"Branco",
IF(ISNUMBER(FIND("BRONZE",B3)),"Bronze",
IF(ISNUMBER(FIND("PRATA",B3)),"Prata",
IF(ISNUMBER(FIND("AÇAI",B3)),"Açai",
IF(ISNUMBER(FIND("VERMELHO",B3)),"Vermelho",
IF(ISNUMBER(FIND("OURO",B3)),"Ouro",
""))))))))))</f>
        <v>Branco</v>
      </c>
    </row>
    <row r="4" spans="1:6" x14ac:dyDescent="0.3">
      <c r="A4" s="2">
        <v>100003</v>
      </c>
      <c r="B4" s="3" t="s">
        <v>4</v>
      </c>
      <c r="C4" t="str">
        <f t="shared" si="1"/>
        <v>Mesa</v>
      </c>
      <c r="D4">
        <f t="shared" si="0"/>
        <v>50</v>
      </c>
      <c r="E4" t="str">
        <f t="shared" si="2"/>
        <v>127V</v>
      </c>
      <c r="F4" t="str">
        <f t="shared" si="3"/>
        <v>Açai</v>
      </c>
    </row>
    <row r="5" spans="1:6" x14ac:dyDescent="0.3">
      <c r="A5" s="2">
        <v>100004</v>
      </c>
      <c r="B5" s="3" t="s">
        <v>5</v>
      </c>
      <c r="C5" t="str">
        <f t="shared" si="1"/>
        <v>Mesa</v>
      </c>
      <c r="D5">
        <f t="shared" si="0"/>
        <v>50</v>
      </c>
      <c r="E5" t="str">
        <f t="shared" si="2"/>
        <v>127V</v>
      </c>
      <c r="F5" t="str">
        <f t="shared" si="3"/>
        <v>Vermelho</v>
      </c>
    </row>
    <row r="6" spans="1:6" x14ac:dyDescent="0.3">
      <c r="A6" s="2">
        <v>100005</v>
      </c>
      <c r="B6" s="3" t="s">
        <v>6</v>
      </c>
      <c r="C6" t="str">
        <f t="shared" si="1"/>
        <v>Mesa</v>
      </c>
      <c r="D6">
        <f t="shared" si="0"/>
        <v>50</v>
      </c>
      <c r="E6" t="str">
        <f t="shared" si="2"/>
        <v>127V</v>
      </c>
      <c r="F6" t="str">
        <f t="shared" si="3"/>
        <v>Cappuccino</v>
      </c>
    </row>
    <row r="7" spans="1:6" x14ac:dyDescent="0.3">
      <c r="A7" s="2">
        <v>100006</v>
      </c>
      <c r="B7" s="3" t="s">
        <v>7</v>
      </c>
      <c r="C7" t="str">
        <f t="shared" si="1"/>
        <v>Mesa</v>
      </c>
      <c r="D7">
        <f t="shared" si="0"/>
        <v>50</v>
      </c>
      <c r="E7" t="str">
        <f t="shared" si="2"/>
        <v>127V</v>
      </c>
      <c r="F7" t="str">
        <f t="shared" si="3"/>
        <v>Ouro</v>
      </c>
    </row>
    <row r="8" spans="1:6" x14ac:dyDescent="0.3">
      <c r="A8" s="2">
        <v>100007</v>
      </c>
      <c r="B8" s="3" t="s">
        <v>8</v>
      </c>
      <c r="C8" t="str">
        <f t="shared" si="1"/>
        <v>Mesa</v>
      </c>
      <c r="D8">
        <f t="shared" si="0"/>
        <v>50</v>
      </c>
      <c r="E8" t="str">
        <f t="shared" si="2"/>
        <v>127V</v>
      </c>
      <c r="F8" t="str">
        <f t="shared" si="3"/>
        <v>Bronze</v>
      </c>
    </row>
    <row r="9" spans="1:6" x14ac:dyDescent="0.3">
      <c r="A9" s="2">
        <v>100008</v>
      </c>
      <c r="B9" s="3" t="s">
        <v>9</v>
      </c>
      <c r="C9" t="str">
        <f t="shared" si="1"/>
        <v>Mesa</v>
      </c>
      <c r="D9">
        <f t="shared" si="0"/>
        <v>50</v>
      </c>
      <c r="E9" t="str">
        <f t="shared" si="2"/>
        <v>127V</v>
      </c>
      <c r="F9" t="str">
        <f t="shared" si="3"/>
        <v>Prata</v>
      </c>
    </row>
    <row r="10" spans="1:6" x14ac:dyDescent="0.3">
      <c r="A10" s="2">
        <v>100009</v>
      </c>
      <c r="B10" s="3" t="s">
        <v>10</v>
      </c>
      <c r="C10" t="str">
        <f t="shared" si="1"/>
        <v>Mesa</v>
      </c>
      <c r="D10">
        <f t="shared" si="0"/>
        <v>50</v>
      </c>
      <c r="E10" t="str">
        <f t="shared" si="2"/>
        <v>127V</v>
      </c>
      <c r="F10" t="str">
        <f t="shared" si="3"/>
        <v>Titanium</v>
      </c>
    </row>
    <row r="11" spans="1:6" x14ac:dyDescent="0.3">
      <c r="A11" s="2">
        <v>100010</v>
      </c>
      <c r="B11" s="4" t="s">
        <v>11</v>
      </c>
      <c r="C11" t="str">
        <f t="shared" si="1"/>
        <v>Mesa</v>
      </c>
      <c r="D11">
        <f t="shared" si="0"/>
        <v>50</v>
      </c>
      <c r="E11" t="str">
        <f t="shared" si="2"/>
        <v>127V</v>
      </c>
      <c r="F11" t="str">
        <f t="shared" si="3"/>
        <v>Dark</v>
      </c>
    </row>
    <row r="12" spans="1:6" x14ac:dyDescent="0.3">
      <c r="A12" s="2">
        <v>100011</v>
      </c>
      <c r="B12" s="4" t="s">
        <v>12</v>
      </c>
      <c r="C12" t="str">
        <f t="shared" si="1"/>
        <v>Mesa</v>
      </c>
      <c r="D12">
        <f t="shared" si="0"/>
        <v>50</v>
      </c>
      <c r="E12" t="str">
        <f t="shared" si="2"/>
        <v>127V</v>
      </c>
      <c r="F12" t="str">
        <f t="shared" si="3"/>
        <v/>
      </c>
    </row>
    <row r="13" spans="1:6" x14ac:dyDescent="0.3">
      <c r="A13" s="5">
        <v>101001</v>
      </c>
      <c r="B13" s="4" t="s">
        <v>13</v>
      </c>
      <c r="C13" t="str">
        <f t="shared" si="1"/>
        <v>Parede</v>
      </c>
      <c r="D13">
        <f t="shared" si="0"/>
        <v>50</v>
      </c>
      <c r="E13" t="str">
        <f t="shared" si="2"/>
        <v>127V</v>
      </c>
      <c r="F13" t="str">
        <f>IF(ISNUMBER(FIND("PRETO",B13)),"Preto",
IF(ISNUMBER(FIND("TITANIUM",B13)),"Titanium",
IF(ISNUMBER(FIND("CAPPUCCINO",B13)),"Cappuccino",
IF(ISNUMBER(FIND("DARK",B13)),"Dark",
IF(ISNUMBER(FIND("BRANCO",B13)),"Branco",
IF(ISNUMBER(FIND("BRONZE",B13)),"Bronze",
IF(ISNUMBER(FIND("PRATA",B13)),"Prata",
IF(ISNUMBER(FIND("AÇAI",B13)),"Açai",
IF(ISNUMBER(FIND("VERMELHO",B13)),"Vermelho",
IF(ISNUMBER(FIND("OURO",B13)),"Ouro",
""))))))))))</f>
        <v>Preto</v>
      </c>
    </row>
    <row r="14" spans="1:6" x14ac:dyDescent="0.3">
      <c r="A14" s="5">
        <v>101002</v>
      </c>
      <c r="B14" s="4" t="s">
        <v>14</v>
      </c>
      <c r="C14" t="str">
        <f t="shared" si="1"/>
        <v>Parede</v>
      </c>
      <c r="D14">
        <f t="shared" si="0"/>
        <v>50</v>
      </c>
      <c r="E14" t="str">
        <f t="shared" si="2"/>
        <v>127V</v>
      </c>
      <c r="F14" t="str">
        <f t="shared" si="3"/>
        <v>Branco</v>
      </c>
    </row>
    <row r="15" spans="1:6" x14ac:dyDescent="0.3">
      <c r="A15" s="5">
        <v>101003</v>
      </c>
      <c r="B15" s="4" t="s">
        <v>15</v>
      </c>
      <c r="C15" t="str">
        <f t="shared" si="1"/>
        <v>Parede</v>
      </c>
      <c r="D15">
        <f t="shared" si="0"/>
        <v>50</v>
      </c>
      <c r="E15" t="str">
        <f t="shared" si="2"/>
        <v>127V</v>
      </c>
      <c r="F15" t="str">
        <f t="shared" si="3"/>
        <v>Açai</v>
      </c>
    </row>
    <row r="16" spans="1:6" x14ac:dyDescent="0.3">
      <c r="A16" s="5">
        <v>101007</v>
      </c>
      <c r="B16" s="4" t="s">
        <v>16</v>
      </c>
      <c r="C16" t="str">
        <f t="shared" si="1"/>
        <v>Parede</v>
      </c>
      <c r="D16">
        <f t="shared" si="0"/>
        <v>50</v>
      </c>
      <c r="E16" t="str">
        <f t="shared" si="2"/>
        <v>127V</v>
      </c>
      <c r="F16" t="str">
        <f t="shared" si="3"/>
        <v>Bronze</v>
      </c>
    </row>
    <row r="17" spans="1:6" x14ac:dyDescent="0.3">
      <c r="A17" s="5">
        <v>101008</v>
      </c>
      <c r="B17" s="4" t="s">
        <v>17</v>
      </c>
      <c r="C17" t="str">
        <f t="shared" si="1"/>
        <v>Parede</v>
      </c>
      <c r="D17">
        <f t="shared" si="0"/>
        <v>50</v>
      </c>
      <c r="E17" t="str">
        <f t="shared" si="2"/>
        <v>127V</v>
      </c>
      <c r="F17" t="str">
        <f t="shared" si="3"/>
        <v>Prata</v>
      </c>
    </row>
    <row r="18" spans="1:6" x14ac:dyDescent="0.3">
      <c r="A18" s="5">
        <v>101009</v>
      </c>
      <c r="B18" s="4" t="s">
        <v>18</v>
      </c>
      <c r="C18" t="str">
        <f t="shared" si="1"/>
        <v>Parede</v>
      </c>
      <c r="D18">
        <f t="shared" si="0"/>
        <v>50</v>
      </c>
      <c r="E18" t="str">
        <f t="shared" si="2"/>
        <v>127V</v>
      </c>
      <c r="F18" t="str">
        <f t="shared" si="3"/>
        <v>Titanium</v>
      </c>
    </row>
    <row r="19" spans="1:6" x14ac:dyDescent="0.3">
      <c r="A19" s="5">
        <v>101010</v>
      </c>
      <c r="B19" s="4" t="s">
        <v>19</v>
      </c>
      <c r="C19" t="str">
        <f t="shared" si="1"/>
        <v>Parede</v>
      </c>
      <c r="D19">
        <f t="shared" si="0"/>
        <v>50</v>
      </c>
      <c r="E19" t="str">
        <f t="shared" si="2"/>
        <v>127V</v>
      </c>
      <c r="F19" t="str">
        <f t="shared" si="3"/>
        <v>Dark</v>
      </c>
    </row>
    <row r="20" spans="1:6" x14ac:dyDescent="0.3">
      <c r="A20" s="6">
        <v>102001</v>
      </c>
      <c r="B20" s="4" t="s">
        <v>20</v>
      </c>
      <c r="C20" t="str">
        <f t="shared" si="1"/>
        <v>Parede</v>
      </c>
      <c r="D20">
        <f t="shared" si="0"/>
        <v>60</v>
      </c>
      <c r="E20" t="str">
        <f t="shared" si="2"/>
        <v>127V</v>
      </c>
      <c r="F20" t="str">
        <f t="shared" si="3"/>
        <v>Preto</v>
      </c>
    </row>
    <row r="21" spans="1:6" x14ac:dyDescent="0.3">
      <c r="A21" s="6">
        <v>102002</v>
      </c>
      <c r="B21" s="4" t="s">
        <v>21</v>
      </c>
      <c r="C21" t="str">
        <f t="shared" si="1"/>
        <v>Parede</v>
      </c>
      <c r="D21">
        <f t="shared" si="0"/>
        <v>60</v>
      </c>
      <c r="E21" t="str">
        <f t="shared" si="2"/>
        <v>127V</v>
      </c>
      <c r="F21" t="str">
        <f t="shared" si="3"/>
        <v>Branco</v>
      </c>
    </row>
    <row r="22" spans="1:6" x14ac:dyDescent="0.3">
      <c r="A22" s="6">
        <v>102003</v>
      </c>
      <c r="B22" s="4" t="s">
        <v>22</v>
      </c>
      <c r="C22" t="str">
        <f t="shared" si="1"/>
        <v>Parede</v>
      </c>
      <c r="D22">
        <f t="shared" si="0"/>
        <v>60</v>
      </c>
      <c r="E22" t="str">
        <f t="shared" si="2"/>
        <v>127V</v>
      </c>
      <c r="F22" t="str">
        <f t="shared" si="3"/>
        <v>Açai</v>
      </c>
    </row>
    <row r="23" spans="1:6" x14ac:dyDescent="0.3">
      <c r="A23" s="6">
        <v>102007</v>
      </c>
      <c r="B23" s="4" t="s">
        <v>23</v>
      </c>
      <c r="C23" t="str">
        <f t="shared" si="1"/>
        <v>Parede</v>
      </c>
      <c r="D23">
        <f t="shared" si="0"/>
        <v>60</v>
      </c>
      <c r="E23" t="str">
        <f t="shared" si="2"/>
        <v>127V</v>
      </c>
      <c r="F23" t="str">
        <f t="shared" si="3"/>
        <v>Bronze</v>
      </c>
    </row>
    <row r="24" spans="1:6" x14ac:dyDescent="0.3">
      <c r="A24" s="6">
        <v>102008</v>
      </c>
      <c r="B24" s="4" t="s">
        <v>24</v>
      </c>
      <c r="C24" t="str">
        <f t="shared" si="1"/>
        <v>Parede</v>
      </c>
      <c r="D24">
        <f t="shared" si="0"/>
        <v>60</v>
      </c>
      <c r="E24" t="str">
        <f t="shared" si="2"/>
        <v>127V</v>
      </c>
      <c r="F24" t="str">
        <f t="shared" si="3"/>
        <v>Prata</v>
      </c>
    </row>
    <row r="25" spans="1:6" x14ac:dyDescent="0.3">
      <c r="A25" s="6">
        <v>102009</v>
      </c>
      <c r="B25" s="4" t="s">
        <v>25</v>
      </c>
      <c r="C25" t="str">
        <f t="shared" si="1"/>
        <v>Parede</v>
      </c>
      <c r="D25">
        <f t="shared" si="0"/>
        <v>60</v>
      </c>
      <c r="E25" t="str">
        <f t="shared" si="2"/>
        <v>127V</v>
      </c>
      <c r="F25" t="str">
        <f t="shared" si="3"/>
        <v>Titanium</v>
      </c>
    </row>
    <row r="26" spans="1:6" x14ac:dyDescent="0.3">
      <c r="A26" s="6">
        <v>102010</v>
      </c>
      <c r="B26" s="4" t="s">
        <v>26</v>
      </c>
      <c r="C26" t="str">
        <f t="shared" si="1"/>
        <v>Parede</v>
      </c>
      <c r="D26">
        <f t="shared" si="0"/>
        <v>60</v>
      </c>
      <c r="E26" t="str">
        <f t="shared" si="2"/>
        <v>127V</v>
      </c>
      <c r="F26" t="str">
        <f t="shared" si="3"/>
        <v>Dark</v>
      </c>
    </row>
    <row r="27" spans="1:6" x14ac:dyDescent="0.3">
      <c r="A27" s="5">
        <v>103001</v>
      </c>
      <c r="B27" s="4" t="s">
        <v>27</v>
      </c>
      <c r="C27" t="str">
        <f t="shared" si="1"/>
        <v>Coluna</v>
      </c>
      <c r="D27">
        <f t="shared" si="0"/>
        <v>50</v>
      </c>
      <c r="E27" t="str">
        <f t="shared" si="2"/>
        <v>127V</v>
      </c>
      <c r="F27" t="str">
        <f t="shared" si="3"/>
        <v>Preto</v>
      </c>
    </row>
    <row r="28" spans="1:6" x14ac:dyDescent="0.3">
      <c r="A28" s="5">
        <v>103002</v>
      </c>
      <c r="B28" s="4" t="s">
        <v>28</v>
      </c>
      <c r="C28" t="str">
        <f t="shared" si="1"/>
        <v>Coluna</v>
      </c>
      <c r="D28">
        <f t="shared" si="0"/>
        <v>50</v>
      </c>
      <c r="E28" t="str">
        <f t="shared" si="2"/>
        <v>127V</v>
      </c>
      <c r="F28" t="str">
        <f t="shared" si="3"/>
        <v>Branco</v>
      </c>
    </row>
    <row r="29" spans="1:6" x14ac:dyDescent="0.3">
      <c r="A29" s="5">
        <v>103003</v>
      </c>
      <c r="B29" s="4" t="s">
        <v>29</v>
      </c>
      <c r="C29" t="str">
        <f t="shared" si="1"/>
        <v>Coluna</v>
      </c>
      <c r="D29">
        <f t="shared" si="0"/>
        <v>50</v>
      </c>
      <c r="E29" t="str">
        <f t="shared" si="2"/>
        <v>127V</v>
      </c>
      <c r="F29" t="str">
        <f t="shared" si="3"/>
        <v>Açai</v>
      </c>
    </row>
    <row r="30" spans="1:6" x14ac:dyDescent="0.3">
      <c r="A30" s="5">
        <v>103004</v>
      </c>
      <c r="B30" s="4" t="s">
        <v>30</v>
      </c>
      <c r="C30" t="str">
        <f t="shared" si="1"/>
        <v>Coluna</v>
      </c>
      <c r="D30">
        <f t="shared" si="0"/>
        <v>50</v>
      </c>
      <c r="E30" t="str">
        <f t="shared" si="2"/>
        <v>127V</v>
      </c>
      <c r="F30" t="str">
        <f t="shared" si="3"/>
        <v>Vermelho</v>
      </c>
    </row>
    <row r="31" spans="1:6" x14ac:dyDescent="0.3">
      <c r="A31" s="5">
        <v>103005</v>
      </c>
      <c r="B31" s="4" t="s">
        <v>31</v>
      </c>
      <c r="C31" t="str">
        <f t="shared" si="1"/>
        <v>Coluna</v>
      </c>
      <c r="D31">
        <f t="shared" si="0"/>
        <v>50</v>
      </c>
      <c r="E31" t="str">
        <f t="shared" si="2"/>
        <v>127V</v>
      </c>
      <c r="F31" t="str">
        <f t="shared" si="3"/>
        <v>Cappuccino</v>
      </c>
    </row>
    <row r="32" spans="1:6" x14ac:dyDescent="0.3">
      <c r="A32" s="5">
        <v>103006</v>
      </c>
      <c r="B32" s="4" t="s">
        <v>32</v>
      </c>
      <c r="C32" t="str">
        <f t="shared" si="1"/>
        <v>Coluna</v>
      </c>
      <c r="D32">
        <f t="shared" si="0"/>
        <v>50</v>
      </c>
      <c r="E32" t="str">
        <f t="shared" si="2"/>
        <v>127V</v>
      </c>
      <c r="F32" t="str">
        <f t="shared" si="3"/>
        <v>Ouro</v>
      </c>
    </row>
    <row r="33" spans="1:6" x14ac:dyDescent="0.3">
      <c r="A33" s="5">
        <v>103007</v>
      </c>
      <c r="B33" s="4" t="s">
        <v>33</v>
      </c>
      <c r="C33" t="str">
        <f t="shared" si="1"/>
        <v>Coluna</v>
      </c>
      <c r="D33">
        <f t="shared" si="0"/>
        <v>50</v>
      </c>
      <c r="E33" t="str">
        <f t="shared" si="2"/>
        <v>127V</v>
      </c>
      <c r="F33" t="str">
        <f t="shared" si="3"/>
        <v>Bronze</v>
      </c>
    </row>
    <row r="34" spans="1:6" x14ac:dyDescent="0.3">
      <c r="A34" s="5">
        <v>103008</v>
      </c>
      <c r="B34" s="4" t="s">
        <v>34</v>
      </c>
      <c r="C34" t="str">
        <f t="shared" si="1"/>
        <v>Coluna</v>
      </c>
      <c r="D34">
        <f t="shared" si="0"/>
        <v>50</v>
      </c>
      <c r="E34" t="str">
        <f t="shared" si="2"/>
        <v>127V</v>
      </c>
      <c r="F34" t="str">
        <f t="shared" si="3"/>
        <v>Prata</v>
      </c>
    </row>
    <row r="35" spans="1:6" x14ac:dyDescent="0.3">
      <c r="A35" s="5">
        <v>103009</v>
      </c>
      <c r="B35" s="4" t="s">
        <v>35</v>
      </c>
      <c r="C35" t="str">
        <f t="shared" si="1"/>
        <v>Coluna</v>
      </c>
      <c r="D35">
        <f t="shared" si="0"/>
        <v>50</v>
      </c>
      <c r="E35" t="str">
        <f t="shared" si="2"/>
        <v>127V</v>
      </c>
      <c r="F35" t="str">
        <f t="shared" si="3"/>
        <v>Titanium</v>
      </c>
    </row>
    <row r="36" spans="1:6" x14ac:dyDescent="0.3">
      <c r="A36" s="5">
        <v>103010</v>
      </c>
      <c r="B36" s="4" t="s">
        <v>36</v>
      </c>
      <c r="C36" t="str">
        <f t="shared" si="1"/>
        <v>Coluna</v>
      </c>
      <c r="D36">
        <f t="shared" si="0"/>
        <v>50</v>
      </c>
      <c r="E36" t="str">
        <f t="shared" si="2"/>
        <v>127V</v>
      </c>
      <c r="F36" t="str">
        <f t="shared" si="3"/>
        <v>Dark</v>
      </c>
    </row>
    <row r="37" spans="1:6" x14ac:dyDescent="0.3">
      <c r="A37" s="5">
        <v>103011</v>
      </c>
      <c r="B37" s="4" t="s">
        <v>37</v>
      </c>
      <c r="C37" t="str">
        <f t="shared" si="1"/>
        <v>Coluna</v>
      </c>
      <c r="D37">
        <f t="shared" si="0"/>
        <v>50</v>
      </c>
      <c r="E37" t="str">
        <f t="shared" si="2"/>
        <v>127V</v>
      </c>
      <c r="F37" t="str">
        <f t="shared" si="3"/>
        <v/>
      </c>
    </row>
    <row r="38" spans="1:6" x14ac:dyDescent="0.3">
      <c r="A38" s="6">
        <v>104001</v>
      </c>
      <c r="B38" s="4" t="s">
        <v>38</v>
      </c>
      <c r="C38" t="str">
        <f t="shared" si="1"/>
        <v>Coluna</v>
      </c>
      <c r="D38">
        <f t="shared" si="0"/>
        <v>60</v>
      </c>
      <c r="E38" t="str">
        <f t="shared" si="2"/>
        <v>127V</v>
      </c>
      <c r="F38" t="str">
        <f t="shared" si="3"/>
        <v>Preto</v>
      </c>
    </row>
    <row r="39" spans="1:6" x14ac:dyDescent="0.3">
      <c r="A39" s="6">
        <v>104002</v>
      </c>
      <c r="B39" s="4" t="s">
        <v>39</v>
      </c>
      <c r="C39" t="str">
        <f t="shared" si="1"/>
        <v>Coluna</v>
      </c>
      <c r="D39">
        <f t="shared" si="0"/>
        <v>60</v>
      </c>
      <c r="E39" t="str">
        <f t="shared" si="2"/>
        <v>127V</v>
      </c>
      <c r="F39" t="str">
        <f t="shared" si="3"/>
        <v>Branco</v>
      </c>
    </row>
    <row r="40" spans="1:6" x14ac:dyDescent="0.3">
      <c r="A40" s="6">
        <v>104003</v>
      </c>
      <c r="B40" s="4" t="s">
        <v>40</v>
      </c>
      <c r="C40" t="str">
        <f t="shared" si="1"/>
        <v>Coluna</v>
      </c>
      <c r="D40">
        <f t="shared" si="0"/>
        <v>60</v>
      </c>
      <c r="E40" t="str">
        <f t="shared" si="2"/>
        <v>127V</v>
      </c>
      <c r="F40" t="str">
        <f t="shared" si="3"/>
        <v>Açai</v>
      </c>
    </row>
    <row r="41" spans="1:6" x14ac:dyDescent="0.3">
      <c r="A41" s="6">
        <v>104004</v>
      </c>
      <c r="B41" s="4" t="s">
        <v>41</v>
      </c>
      <c r="C41" t="str">
        <f t="shared" si="1"/>
        <v>Coluna</v>
      </c>
      <c r="D41">
        <f t="shared" si="0"/>
        <v>60</v>
      </c>
      <c r="E41" t="str">
        <f t="shared" si="2"/>
        <v>127V</v>
      </c>
      <c r="F41" t="str">
        <f t="shared" si="3"/>
        <v>Vermelho</v>
      </c>
    </row>
    <row r="42" spans="1:6" x14ac:dyDescent="0.3">
      <c r="A42" s="6">
        <v>104006</v>
      </c>
      <c r="B42" s="4" t="s">
        <v>42</v>
      </c>
      <c r="C42" t="str">
        <f t="shared" si="1"/>
        <v>Coluna</v>
      </c>
      <c r="D42">
        <f t="shared" si="0"/>
        <v>60</v>
      </c>
      <c r="E42" t="str">
        <f t="shared" si="2"/>
        <v>127V</v>
      </c>
      <c r="F42" t="str">
        <f t="shared" si="3"/>
        <v>Ouro</v>
      </c>
    </row>
    <row r="43" spans="1:6" x14ac:dyDescent="0.3">
      <c r="A43" s="6">
        <v>104007</v>
      </c>
      <c r="B43" s="4" t="s">
        <v>43</v>
      </c>
      <c r="C43" t="str">
        <f t="shared" si="1"/>
        <v>Coluna</v>
      </c>
      <c r="D43">
        <f t="shared" si="0"/>
        <v>60</v>
      </c>
      <c r="E43" t="str">
        <f t="shared" si="2"/>
        <v>127V</v>
      </c>
      <c r="F43" t="str">
        <f t="shared" si="3"/>
        <v>Bronze</v>
      </c>
    </row>
    <row r="44" spans="1:6" x14ac:dyDescent="0.3">
      <c r="A44" s="6">
        <v>104008</v>
      </c>
      <c r="B44" s="4" t="s">
        <v>44</v>
      </c>
      <c r="C44" t="str">
        <f t="shared" si="1"/>
        <v>Coluna</v>
      </c>
      <c r="D44">
        <f t="shared" si="0"/>
        <v>60</v>
      </c>
      <c r="E44" t="str">
        <f t="shared" si="2"/>
        <v>127V</v>
      </c>
      <c r="F44" t="str">
        <f t="shared" si="3"/>
        <v>Prata</v>
      </c>
    </row>
    <row r="45" spans="1:6" x14ac:dyDescent="0.3">
      <c r="A45" s="6">
        <v>104009</v>
      </c>
      <c r="B45" s="4" t="s">
        <v>45</v>
      </c>
      <c r="C45" t="str">
        <f t="shared" si="1"/>
        <v>Coluna</v>
      </c>
      <c r="D45">
        <f t="shared" si="0"/>
        <v>60</v>
      </c>
      <c r="E45" t="str">
        <f t="shared" si="2"/>
        <v>127V</v>
      </c>
      <c r="F45" t="str">
        <f t="shared" si="3"/>
        <v>Titanium</v>
      </c>
    </row>
    <row r="46" spans="1:6" x14ac:dyDescent="0.3">
      <c r="A46" s="6">
        <v>104010</v>
      </c>
      <c r="B46" s="4" t="s">
        <v>46</v>
      </c>
      <c r="C46" t="str">
        <f t="shared" si="1"/>
        <v>Coluna</v>
      </c>
      <c r="D46">
        <f t="shared" si="0"/>
        <v>60</v>
      </c>
      <c r="E46" t="str">
        <f t="shared" si="2"/>
        <v>127V</v>
      </c>
      <c r="F46" t="str">
        <f t="shared" si="3"/>
        <v>Dark</v>
      </c>
    </row>
    <row r="47" spans="1:6" x14ac:dyDescent="0.3">
      <c r="A47" s="5">
        <v>105001</v>
      </c>
      <c r="B47" s="4" t="s">
        <v>47</v>
      </c>
      <c r="C47" t="str">
        <f t="shared" si="1"/>
        <v>Twister</v>
      </c>
      <c r="D47">
        <f t="shared" si="0"/>
        <v>50</v>
      </c>
      <c r="E47" t="str">
        <f t="shared" si="2"/>
        <v>127V</v>
      </c>
      <c r="F47" t="str">
        <f t="shared" si="3"/>
        <v>Preto</v>
      </c>
    </row>
    <row r="48" spans="1:6" x14ac:dyDescent="0.3">
      <c r="A48" s="5">
        <v>105002</v>
      </c>
      <c r="B48" s="4" t="s">
        <v>48</v>
      </c>
      <c r="C48" t="str">
        <f t="shared" si="1"/>
        <v>Twister</v>
      </c>
      <c r="D48">
        <f t="shared" si="0"/>
        <v>50</v>
      </c>
      <c r="E48" t="str">
        <f t="shared" si="2"/>
        <v>127V</v>
      </c>
      <c r="F48" t="str">
        <f t="shared" si="3"/>
        <v>Branco</v>
      </c>
    </row>
    <row r="49" spans="1:6" x14ac:dyDescent="0.3">
      <c r="A49" s="5">
        <v>105003</v>
      </c>
      <c r="B49" s="4" t="s">
        <v>49</v>
      </c>
      <c r="C49" t="str">
        <f t="shared" si="1"/>
        <v>Twister</v>
      </c>
      <c r="D49">
        <f t="shared" si="0"/>
        <v>50</v>
      </c>
      <c r="E49" t="str">
        <f t="shared" si="2"/>
        <v>127V</v>
      </c>
      <c r="F49" t="str">
        <f t="shared" si="3"/>
        <v/>
      </c>
    </row>
    <row r="50" spans="1:6" x14ac:dyDescent="0.3">
      <c r="A50" s="5">
        <v>105007</v>
      </c>
      <c r="B50" s="4" t="s">
        <v>50</v>
      </c>
      <c r="C50" t="str">
        <f t="shared" si="1"/>
        <v>Twister</v>
      </c>
      <c r="D50">
        <f t="shared" si="0"/>
        <v>50</v>
      </c>
      <c r="E50" t="str">
        <f t="shared" si="2"/>
        <v>127V</v>
      </c>
      <c r="F50" t="str">
        <f t="shared" si="3"/>
        <v>Bronze</v>
      </c>
    </row>
    <row r="51" spans="1:6" x14ac:dyDescent="0.3">
      <c r="A51" s="5">
        <v>105008</v>
      </c>
      <c r="B51" s="4" t="s">
        <v>51</v>
      </c>
      <c r="C51" t="str">
        <f t="shared" si="1"/>
        <v>Twister</v>
      </c>
      <c r="D51">
        <f t="shared" si="0"/>
        <v>50</v>
      </c>
      <c r="E51" t="str">
        <f t="shared" si="2"/>
        <v>127V</v>
      </c>
      <c r="F51" t="str">
        <f t="shared" si="3"/>
        <v>Prata</v>
      </c>
    </row>
    <row r="52" spans="1:6" x14ac:dyDescent="0.3">
      <c r="A52" s="5">
        <v>105009</v>
      </c>
      <c r="B52" s="4" t="s">
        <v>52</v>
      </c>
      <c r="C52" t="str">
        <f t="shared" si="1"/>
        <v>Twister</v>
      </c>
      <c r="D52">
        <f t="shared" si="0"/>
        <v>50</v>
      </c>
      <c r="E52" t="str">
        <f t="shared" si="2"/>
        <v>127V</v>
      </c>
      <c r="F52" t="str">
        <f t="shared" si="3"/>
        <v>Titanium</v>
      </c>
    </row>
    <row r="53" spans="1:6" x14ac:dyDescent="0.3">
      <c r="A53" s="5">
        <v>105010</v>
      </c>
      <c r="B53" s="4" t="s">
        <v>53</v>
      </c>
      <c r="C53" t="str">
        <f t="shared" si="1"/>
        <v>Twister</v>
      </c>
      <c r="D53">
        <f t="shared" si="0"/>
        <v>50</v>
      </c>
      <c r="E53" t="str">
        <f t="shared" si="2"/>
        <v>127V</v>
      </c>
      <c r="F53" t="str">
        <f t="shared" si="3"/>
        <v>Dark</v>
      </c>
    </row>
    <row r="54" spans="1:6" x14ac:dyDescent="0.3">
      <c r="A54" s="6">
        <v>106001</v>
      </c>
      <c r="B54" s="4" t="s">
        <v>54</v>
      </c>
      <c r="C54" t="str">
        <f t="shared" si="1"/>
        <v>Twister</v>
      </c>
      <c r="D54">
        <f t="shared" si="0"/>
        <v>60</v>
      </c>
      <c r="E54" t="str">
        <f t="shared" si="2"/>
        <v>127V</v>
      </c>
      <c r="F54" t="str">
        <f t="shared" si="3"/>
        <v>Preto</v>
      </c>
    </row>
    <row r="55" spans="1:6" x14ac:dyDescent="0.3">
      <c r="A55" s="6">
        <v>106002</v>
      </c>
      <c r="B55" s="4" t="s">
        <v>55</v>
      </c>
      <c r="C55" t="str">
        <f t="shared" si="1"/>
        <v>Twister</v>
      </c>
      <c r="D55">
        <f t="shared" si="0"/>
        <v>60</v>
      </c>
      <c r="E55" t="str">
        <f t="shared" si="2"/>
        <v>127V</v>
      </c>
      <c r="F55" t="str">
        <f t="shared" si="3"/>
        <v>Branco</v>
      </c>
    </row>
    <row r="56" spans="1:6" x14ac:dyDescent="0.3">
      <c r="A56" s="6">
        <v>106003</v>
      </c>
      <c r="B56" s="4" t="s">
        <v>56</v>
      </c>
      <c r="C56" t="str">
        <f t="shared" si="1"/>
        <v>Twister</v>
      </c>
      <c r="D56">
        <f t="shared" si="0"/>
        <v>60</v>
      </c>
      <c r="E56" t="str">
        <f t="shared" si="2"/>
        <v>127V</v>
      </c>
      <c r="F56" t="str">
        <f t="shared" si="3"/>
        <v/>
      </c>
    </row>
    <row r="57" spans="1:6" x14ac:dyDescent="0.3">
      <c r="A57" s="6">
        <v>106007</v>
      </c>
      <c r="B57" s="4" t="s">
        <v>57</v>
      </c>
      <c r="C57" t="str">
        <f t="shared" si="1"/>
        <v>Twister</v>
      </c>
      <c r="D57">
        <f t="shared" si="0"/>
        <v>60</v>
      </c>
      <c r="E57" t="str">
        <f t="shared" si="2"/>
        <v>127V</v>
      </c>
      <c r="F57" t="str">
        <f t="shared" si="3"/>
        <v>Bronze</v>
      </c>
    </row>
    <row r="58" spans="1:6" x14ac:dyDescent="0.3">
      <c r="A58" s="6">
        <v>106008</v>
      </c>
      <c r="B58" s="4" t="s">
        <v>58</v>
      </c>
      <c r="C58" t="str">
        <f t="shared" si="1"/>
        <v>Twister</v>
      </c>
      <c r="D58">
        <f t="shared" si="0"/>
        <v>60</v>
      </c>
      <c r="E58" t="str">
        <f t="shared" si="2"/>
        <v>127V</v>
      </c>
      <c r="F58" t="str">
        <f t="shared" si="3"/>
        <v>Prata</v>
      </c>
    </row>
    <row r="59" spans="1:6" x14ac:dyDescent="0.3">
      <c r="A59" s="7">
        <v>106009</v>
      </c>
      <c r="B59" s="8" t="s">
        <v>59</v>
      </c>
      <c r="C59" t="str">
        <f t="shared" si="1"/>
        <v>Twister</v>
      </c>
      <c r="D59">
        <f t="shared" si="0"/>
        <v>60</v>
      </c>
      <c r="E59" t="str">
        <f t="shared" si="2"/>
        <v>127V</v>
      </c>
      <c r="F59" t="str">
        <f t="shared" si="3"/>
        <v>Titanium</v>
      </c>
    </row>
    <row r="60" spans="1:6" x14ac:dyDescent="0.3">
      <c r="A60" s="7">
        <v>106010</v>
      </c>
      <c r="B60" s="8" t="s">
        <v>60</v>
      </c>
      <c r="C60" t="str">
        <f t="shared" si="1"/>
        <v>Twister</v>
      </c>
      <c r="D60">
        <f t="shared" si="0"/>
        <v>60</v>
      </c>
      <c r="E60" t="str">
        <f t="shared" si="2"/>
        <v>127V</v>
      </c>
      <c r="F60" t="str">
        <f t="shared" si="3"/>
        <v>Dark</v>
      </c>
    </row>
    <row r="61" spans="1:6" x14ac:dyDescent="0.3">
      <c r="A61" s="9">
        <v>107003</v>
      </c>
      <c r="B61" s="8" t="s">
        <v>61</v>
      </c>
      <c r="C61" t="str">
        <f t="shared" si="1"/>
        <v>Mesa</v>
      </c>
      <c r="D61">
        <f t="shared" si="0"/>
        <v>43</v>
      </c>
      <c r="E61" t="str">
        <f t="shared" si="2"/>
        <v>127V</v>
      </c>
      <c r="F61" t="str">
        <f t="shared" si="3"/>
        <v>Açai</v>
      </c>
    </row>
    <row r="62" spans="1:6" x14ac:dyDescent="0.3">
      <c r="A62" s="9">
        <v>107004</v>
      </c>
      <c r="B62" s="8" t="s">
        <v>196</v>
      </c>
      <c r="C62" t="str">
        <f t="shared" si="1"/>
        <v>Mesa</v>
      </c>
      <c r="D62">
        <f t="shared" ref="D61:D64" si="4">IF(ISNUMBER(FIND("4.3",B62)),43,
IF(ISNUMBER(FIND("50",B62)),50,
IF(ISNUMBER(FIND("60",B62)),60,"")))</f>
        <v>43</v>
      </c>
      <c r="E62" t="str">
        <f t="shared" si="2"/>
        <v>127V</v>
      </c>
      <c r="F62" t="str">
        <f t="shared" si="3"/>
        <v>Vermelho</v>
      </c>
    </row>
    <row r="63" spans="1:6" x14ac:dyDescent="0.3">
      <c r="A63" s="9">
        <v>107007</v>
      </c>
      <c r="B63" s="8" t="s">
        <v>195</v>
      </c>
      <c r="C63" t="str">
        <f t="shared" si="1"/>
        <v>Mesa</v>
      </c>
      <c r="D63">
        <f t="shared" si="4"/>
        <v>43</v>
      </c>
      <c r="E63" t="str">
        <f t="shared" si="2"/>
        <v>127V</v>
      </c>
      <c r="F63" t="str">
        <f t="shared" si="3"/>
        <v>Bronze</v>
      </c>
    </row>
    <row r="64" spans="1:6" x14ac:dyDescent="0.3">
      <c r="A64" s="9">
        <v>107008</v>
      </c>
      <c r="B64" s="8" t="s">
        <v>194</v>
      </c>
      <c r="C64" t="str">
        <f t="shared" si="1"/>
        <v>Mesa</v>
      </c>
      <c r="D64">
        <f>IF(ISNUMBER(FIND("4.3",B64)),43,
IF(ISNUMBER(FIND("50",B64)),50,
IF(ISNUMBER(FIND("60",B64)),60,"")))</f>
        <v>43</v>
      </c>
      <c r="E64" t="str">
        <f t="shared" si="2"/>
        <v>127V</v>
      </c>
      <c r="F64" t="str">
        <f t="shared" si="3"/>
        <v>Prata</v>
      </c>
    </row>
    <row r="65" spans="1:6" x14ac:dyDescent="0.3">
      <c r="A65" s="9">
        <v>107009</v>
      </c>
      <c r="B65" s="4" t="s">
        <v>62</v>
      </c>
      <c r="C65" t="str">
        <f t="shared" si="1"/>
        <v>Mesa</v>
      </c>
      <c r="D65">
        <f t="shared" ref="D65:D128" si="5">IF(ISNUMBER(FIND("4.3",B65)),43,
IF(ISNUMBER(FIND("50",B65)),50,
IF(ISNUMBER(FIND("60",B65)),60,"")))</f>
        <v>43</v>
      </c>
      <c r="E65" t="str">
        <f t="shared" si="2"/>
        <v>127V</v>
      </c>
      <c r="F65" t="str">
        <f t="shared" si="3"/>
        <v/>
      </c>
    </row>
    <row r="66" spans="1:6" x14ac:dyDescent="0.3">
      <c r="A66" s="10">
        <v>108009</v>
      </c>
      <c r="B66" s="4" t="s">
        <v>63</v>
      </c>
      <c r="C66" t="str">
        <f t="shared" si="1"/>
        <v>Parede</v>
      </c>
      <c r="D66">
        <f t="shared" si="5"/>
        <v>43</v>
      </c>
      <c r="E66" t="str">
        <f t="shared" si="2"/>
        <v>127V</v>
      </c>
      <c r="F66" t="str">
        <f t="shared" si="3"/>
        <v>Titanium</v>
      </c>
    </row>
    <row r="67" spans="1:6" x14ac:dyDescent="0.3">
      <c r="A67" s="11">
        <v>109003</v>
      </c>
      <c r="B67" s="4" t="s">
        <v>64</v>
      </c>
      <c r="C67" t="str">
        <f t="shared" ref="C67:C130" si="6">IF(LEFT(B67,4)="MESA","Mesa",
IF(LEFT(B67,6)="PAREDE","Parede",
IF(LEFT(B67,6)="COLUNA","Coluna",
IF(LEFT(B67,7)="PRACTICE","Practice",
"Twister"))))</f>
        <v>Coluna</v>
      </c>
      <c r="D67">
        <f t="shared" si="5"/>
        <v>43</v>
      </c>
      <c r="E67" t="str">
        <f t="shared" ref="E67:E130" si="7">IF(ISNUMBER(FIND("220",B67)),"220V",
IF(ISNUMBER(FIND("127",B67)),"127V",
IF(ISNUMBER(FIND("BIVOLT",B67)),"Bivolt","")))</f>
        <v>127V</v>
      </c>
      <c r="F67" t="str">
        <f t="shared" ref="F67:F130" si="8">IF(ISNUMBER(FIND("PRETO",B67)),"Preto",
IF(ISNUMBER(FIND("TITANIUM",B67)),"Titanium",
IF(ISNUMBER(FIND("CAPPUCCINO",B67)),"Cappuccino",
IF(ISNUMBER(FIND("DARK",B67)),"Dark",
IF(ISNUMBER(FIND("BRANCO",B67)),"Branco",
IF(ISNUMBER(FIND("BRONZE",B67)),"Bronze",
IF(ISNUMBER(FIND("PRATA",B67)),"Prata",
IF(ISNUMBER(FIND("AÇAI",B67)),"Açai",
IF(ISNUMBER(FIND("VERMELHO",B67)),"Vermelho",
IF(ISNUMBER(FIND("OURO",B67)),"Ouro",
""))))))))))</f>
        <v>Açai</v>
      </c>
    </row>
    <row r="68" spans="1:6" x14ac:dyDescent="0.3">
      <c r="A68" s="11">
        <v>109004</v>
      </c>
      <c r="B68" s="4" t="s">
        <v>65</v>
      </c>
      <c r="C68" t="str">
        <f t="shared" si="6"/>
        <v>Coluna</v>
      </c>
      <c r="D68">
        <f t="shared" si="5"/>
        <v>43</v>
      </c>
      <c r="E68" t="str">
        <f t="shared" si="7"/>
        <v>127V</v>
      </c>
      <c r="F68" t="str">
        <f t="shared" si="8"/>
        <v>Vermelho</v>
      </c>
    </row>
    <row r="69" spans="1:6" x14ac:dyDescent="0.3">
      <c r="A69" s="11">
        <v>109007</v>
      </c>
      <c r="B69" s="4" t="s">
        <v>66</v>
      </c>
      <c r="C69" t="str">
        <f t="shared" si="6"/>
        <v>Coluna</v>
      </c>
      <c r="D69">
        <f t="shared" si="5"/>
        <v>43</v>
      </c>
      <c r="E69" t="str">
        <f t="shared" si="7"/>
        <v>127V</v>
      </c>
      <c r="F69" t="str">
        <f t="shared" si="8"/>
        <v>Bronze</v>
      </c>
    </row>
    <row r="70" spans="1:6" x14ac:dyDescent="0.3">
      <c r="A70" s="11">
        <v>109008</v>
      </c>
      <c r="B70" s="4" t="s">
        <v>67</v>
      </c>
      <c r="C70" t="str">
        <f t="shared" si="6"/>
        <v>Coluna</v>
      </c>
      <c r="D70">
        <f t="shared" si="5"/>
        <v>43</v>
      </c>
      <c r="E70" t="str">
        <f t="shared" si="7"/>
        <v>127V</v>
      </c>
      <c r="F70" t="str">
        <f t="shared" si="8"/>
        <v>Prata</v>
      </c>
    </row>
    <row r="71" spans="1:6" ht="15" thickBot="1" x14ac:dyDescent="0.35">
      <c r="A71" s="11">
        <v>109009</v>
      </c>
      <c r="B71" s="4" t="s">
        <v>68</v>
      </c>
      <c r="C71" t="str">
        <f t="shared" si="6"/>
        <v>Coluna</v>
      </c>
      <c r="D71">
        <f t="shared" si="5"/>
        <v>43</v>
      </c>
      <c r="E71" t="str">
        <f t="shared" si="7"/>
        <v>127V</v>
      </c>
      <c r="F71" t="str">
        <f t="shared" si="8"/>
        <v>Titanium</v>
      </c>
    </row>
    <row r="72" spans="1:6" ht="15" thickBot="1" x14ac:dyDescent="0.35">
      <c r="A72" s="12">
        <v>110001</v>
      </c>
      <c r="B72" s="13" t="s">
        <v>69</v>
      </c>
      <c r="C72" t="str">
        <f t="shared" si="6"/>
        <v>Twister</v>
      </c>
      <c r="D72">
        <f t="shared" si="5"/>
        <v>60</v>
      </c>
      <c r="E72" t="str">
        <f t="shared" si="7"/>
        <v>127V</v>
      </c>
      <c r="F72" t="str">
        <f t="shared" si="8"/>
        <v>Preto</v>
      </c>
    </row>
    <row r="73" spans="1:6" ht="15" thickBot="1" x14ac:dyDescent="0.35">
      <c r="A73" s="12">
        <v>111001</v>
      </c>
      <c r="B73" s="13" t="s">
        <v>70</v>
      </c>
      <c r="C73" t="str">
        <f t="shared" si="6"/>
        <v>Twister</v>
      </c>
      <c r="D73">
        <f t="shared" si="5"/>
        <v>60</v>
      </c>
      <c r="E73" t="str">
        <f t="shared" si="7"/>
        <v>127V</v>
      </c>
      <c r="F73" t="str">
        <f t="shared" si="8"/>
        <v>Preto</v>
      </c>
    </row>
    <row r="74" spans="1:6" x14ac:dyDescent="0.3">
      <c r="A74" s="14">
        <v>200001</v>
      </c>
      <c r="B74" s="4" t="s">
        <v>71</v>
      </c>
      <c r="C74" t="str">
        <f t="shared" si="6"/>
        <v>Mesa</v>
      </c>
      <c r="D74">
        <f t="shared" si="5"/>
        <v>50</v>
      </c>
      <c r="E74" t="str">
        <f t="shared" si="7"/>
        <v>220V</v>
      </c>
      <c r="F74" t="str">
        <f t="shared" si="8"/>
        <v>Preto</v>
      </c>
    </row>
    <row r="75" spans="1:6" x14ac:dyDescent="0.3">
      <c r="A75" s="14">
        <v>200002</v>
      </c>
      <c r="B75" s="4" t="s">
        <v>72</v>
      </c>
      <c r="C75" t="str">
        <f t="shared" si="6"/>
        <v>Mesa</v>
      </c>
      <c r="D75">
        <f t="shared" si="5"/>
        <v>50</v>
      </c>
      <c r="E75" t="str">
        <f t="shared" si="7"/>
        <v>220V</v>
      </c>
      <c r="F75" t="str">
        <f t="shared" si="8"/>
        <v>Branco</v>
      </c>
    </row>
    <row r="76" spans="1:6" x14ac:dyDescent="0.3">
      <c r="A76" s="14">
        <v>200003</v>
      </c>
      <c r="B76" s="4" t="s">
        <v>73</v>
      </c>
      <c r="C76" t="str">
        <f t="shared" si="6"/>
        <v>Mesa</v>
      </c>
      <c r="D76">
        <f t="shared" si="5"/>
        <v>50</v>
      </c>
      <c r="E76" t="str">
        <f t="shared" si="7"/>
        <v>220V</v>
      </c>
      <c r="F76" t="str">
        <f t="shared" si="8"/>
        <v>Açai</v>
      </c>
    </row>
    <row r="77" spans="1:6" x14ac:dyDescent="0.3">
      <c r="A77" s="14">
        <v>200004</v>
      </c>
      <c r="B77" s="4" t="s">
        <v>74</v>
      </c>
      <c r="C77" t="str">
        <f t="shared" si="6"/>
        <v>Mesa</v>
      </c>
      <c r="D77">
        <f t="shared" si="5"/>
        <v>50</v>
      </c>
      <c r="E77" t="str">
        <f t="shared" si="7"/>
        <v>220V</v>
      </c>
      <c r="F77" t="str">
        <f t="shared" si="8"/>
        <v>Vermelho</v>
      </c>
    </row>
    <row r="78" spans="1:6" x14ac:dyDescent="0.3">
      <c r="A78" s="14">
        <v>200005</v>
      </c>
      <c r="B78" s="4" t="s">
        <v>75</v>
      </c>
      <c r="C78" t="str">
        <f t="shared" si="6"/>
        <v>Mesa</v>
      </c>
      <c r="D78">
        <f t="shared" si="5"/>
        <v>50</v>
      </c>
      <c r="E78" t="str">
        <f t="shared" si="7"/>
        <v>220V</v>
      </c>
      <c r="F78" t="str">
        <f t="shared" si="8"/>
        <v>Cappuccino</v>
      </c>
    </row>
    <row r="79" spans="1:6" x14ac:dyDescent="0.3">
      <c r="A79" s="14">
        <v>200006</v>
      </c>
      <c r="B79" s="4" t="s">
        <v>76</v>
      </c>
      <c r="C79" t="str">
        <f t="shared" si="6"/>
        <v>Mesa</v>
      </c>
      <c r="D79">
        <f t="shared" si="5"/>
        <v>50</v>
      </c>
      <c r="E79" t="str">
        <f t="shared" si="7"/>
        <v>220V</v>
      </c>
      <c r="F79" t="str">
        <f t="shared" si="8"/>
        <v>Ouro</v>
      </c>
    </row>
    <row r="80" spans="1:6" x14ac:dyDescent="0.3">
      <c r="A80" s="14">
        <v>200007</v>
      </c>
      <c r="B80" s="4" t="s">
        <v>77</v>
      </c>
      <c r="C80" t="str">
        <f t="shared" si="6"/>
        <v>Mesa</v>
      </c>
      <c r="D80">
        <f t="shared" si="5"/>
        <v>50</v>
      </c>
      <c r="E80" t="str">
        <f t="shared" si="7"/>
        <v>220V</v>
      </c>
      <c r="F80" t="str">
        <f t="shared" si="8"/>
        <v>Bronze</v>
      </c>
    </row>
    <row r="81" spans="1:6" x14ac:dyDescent="0.3">
      <c r="A81" s="14">
        <v>200008</v>
      </c>
      <c r="B81" s="4" t="s">
        <v>78</v>
      </c>
      <c r="C81" t="str">
        <f t="shared" si="6"/>
        <v>Mesa</v>
      </c>
      <c r="D81">
        <f t="shared" si="5"/>
        <v>50</v>
      </c>
      <c r="E81" t="str">
        <f t="shared" si="7"/>
        <v>220V</v>
      </c>
      <c r="F81" t="str">
        <f t="shared" si="8"/>
        <v>Prata</v>
      </c>
    </row>
    <row r="82" spans="1:6" x14ac:dyDescent="0.3">
      <c r="A82" s="14">
        <v>200009</v>
      </c>
      <c r="B82" s="4" t="s">
        <v>79</v>
      </c>
      <c r="C82" t="str">
        <f t="shared" si="6"/>
        <v>Mesa</v>
      </c>
      <c r="D82">
        <f t="shared" si="5"/>
        <v>50</v>
      </c>
      <c r="E82" t="str">
        <f t="shared" si="7"/>
        <v>220V</v>
      </c>
      <c r="F82" t="str">
        <f t="shared" si="8"/>
        <v>Titanium</v>
      </c>
    </row>
    <row r="83" spans="1:6" x14ac:dyDescent="0.3">
      <c r="A83" s="14">
        <v>200010</v>
      </c>
      <c r="B83" s="4" t="s">
        <v>80</v>
      </c>
      <c r="C83" t="str">
        <f t="shared" si="6"/>
        <v>Mesa</v>
      </c>
      <c r="D83">
        <f t="shared" si="5"/>
        <v>50</v>
      </c>
      <c r="E83" t="str">
        <f t="shared" si="7"/>
        <v>220V</v>
      </c>
      <c r="F83" t="str">
        <f t="shared" si="8"/>
        <v>Dark</v>
      </c>
    </row>
    <row r="84" spans="1:6" x14ac:dyDescent="0.3">
      <c r="A84" s="14">
        <v>200011</v>
      </c>
      <c r="B84" s="4" t="s">
        <v>81</v>
      </c>
      <c r="C84" t="str">
        <f t="shared" si="6"/>
        <v>Mesa</v>
      </c>
      <c r="D84">
        <f t="shared" si="5"/>
        <v>50</v>
      </c>
      <c r="E84" t="str">
        <f t="shared" si="7"/>
        <v>220V</v>
      </c>
      <c r="F84" t="str">
        <f t="shared" si="8"/>
        <v/>
      </c>
    </row>
    <row r="85" spans="1:6" x14ac:dyDescent="0.3">
      <c r="A85" s="15">
        <v>201001</v>
      </c>
      <c r="B85" s="4" t="s">
        <v>82</v>
      </c>
      <c r="C85" t="str">
        <f t="shared" si="6"/>
        <v>Parede</v>
      </c>
      <c r="D85">
        <f t="shared" si="5"/>
        <v>50</v>
      </c>
      <c r="E85" t="str">
        <f t="shared" si="7"/>
        <v>220V</v>
      </c>
      <c r="F85" t="str">
        <f t="shared" si="8"/>
        <v>Preto</v>
      </c>
    </row>
    <row r="86" spans="1:6" x14ac:dyDescent="0.3">
      <c r="A86" s="15">
        <v>201002</v>
      </c>
      <c r="B86" s="4" t="s">
        <v>83</v>
      </c>
      <c r="C86" t="str">
        <f t="shared" si="6"/>
        <v>Parede</v>
      </c>
      <c r="D86">
        <f t="shared" si="5"/>
        <v>50</v>
      </c>
      <c r="E86" t="str">
        <f t="shared" si="7"/>
        <v>220V</v>
      </c>
      <c r="F86" t="str">
        <f t="shared" si="8"/>
        <v>Branco</v>
      </c>
    </row>
    <row r="87" spans="1:6" x14ac:dyDescent="0.3">
      <c r="A87" s="15">
        <v>201003</v>
      </c>
      <c r="B87" s="4" t="s">
        <v>84</v>
      </c>
      <c r="C87" t="str">
        <f t="shared" si="6"/>
        <v>Parede</v>
      </c>
      <c r="D87">
        <f t="shared" si="5"/>
        <v>50</v>
      </c>
      <c r="E87" t="str">
        <f t="shared" si="7"/>
        <v>220V</v>
      </c>
      <c r="F87" t="str">
        <f t="shared" si="8"/>
        <v>Açai</v>
      </c>
    </row>
    <row r="88" spans="1:6" x14ac:dyDescent="0.3">
      <c r="A88" s="15">
        <v>201007</v>
      </c>
      <c r="B88" s="4" t="s">
        <v>85</v>
      </c>
      <c r="C88" t="str">
        <f t="shared" si="6"/>
        <v>Parede</v>
      </c>
      <c r="D88">
        <f t="shared" si="5"/>
        <v>50</v>
      </c>
      <c r="E88" t="str">
        <f t="shared" si="7"/>
        <v>220V</v>
      </c>
      <c r="F88" t="str">
        <f t="shared" si="8"/>
        <v>Bronze</v>
      </c>
    </row>
    <row r="89" spans="1:6" x14ac:dyDescent="0.3">
      <c r="A89" s="15">
        <v>201008</v>
      </c>
      <c r="B89" s="4" t="s">
        <v>86</v>
      </c>
      <c r="C89" t="str">
        <f t="shared" si="6"/>
        <v>Parede</v>
      </c>
      <c r="D89">
        <f t="shared" si="5"/>
        <v>50</v>
      </c>
      <c r="E89" t="str">
        <f t="shared" si="7"/>
        <v>220V</v>
      </c>
      <c r="F89" t="str">
        <f t="shared" si="8"/>
        <v>Prata</v>
      </c>
    </row>
    <row r="90" spans="1:6" x14ac:dyDescent="0.3">
      <c r="A90" s="15">
        <v>201009</v>
      </c>
      <c r="B90" s="4" t="s">
        <v>87</v>
      </c>
      <c r="C90" t="str">
        <f t="shared" si="6"/>
        <v>Parede</v>
      </c>
      <c r="D90">
        <f t="shared" si="5"/>
        <v>50</v>
      </c>
      <c r="E90" t="str">
        <f t="shared" si="7"/>
        <v>220V</v>
      </c>
      <c r="F90" t="str">
        <f t="shared" si="8"/>
        <v>Titanium</v>
      </c>
    </row>
    <row r="91" spans="1:6" x14ac:dyDescent="0.3">
      <c r="A91" s="15">
        <v>201010</v>
      </c>
      <c r="B91" s="4" t="s">
        <v>88</v>
      </c>
      <c r="C91" t="str">
        <f t="shared" si="6"/>
        <v>Parede</v>
      </c>
      <c r="D91">
        <f t="shared" si="5"/>
        <v>50</v>
      </c>
      <c r="E91" t="str">
        <f t="shared" si="7"/>
        <v>220V</v>
      </c>
      <c r="F91" t="str">
        <f t="shared" si="8"/>
        <v>Dark</v>
      </c>
    </row>
    <row r="92" spans="1:6" x14ac:dyDescent="0.3">
      <c r="A92" s="16">
        <v>202001</v>
      </c>
      <c r="B92" s="4" t="s">
        <v>89</v>
      </c>
      <c r="C92" t="str">
        <f t="shared" si="6"/>
        <v>Parede</v>
      </c>
      <c r="D92">
        <f t="shared" si="5"/>
        <v>60</v>
      </c>
      <c r="E92" t="str">
        <f t="shared" si="7"/>
        <v>220V</v>
      </c>
      <c r="F92" t="str">
        <f t="shared" si="8"/>
        <v>Preto</v>
      </c>
    </row>
    <row r="93" spans="1:6" x14ac:dyDescent="0.3">
      <c r="A93" s="16">
        <v>202002</v>
      </c>
      <c r="B93" s="4" t="s">
        <v>90</v>
      </c>
      <c r="C93" t="str">
        <f t="shared" si="6"/>
        <v>Parede</v>
      </c>
      <c r="D93">
        <f t="shared" si="5"/>
        <v>60</v>
      </c>
      <c r="E93" t="str">
        <f t="shared" si="7"/>
        <v>220V</v>
      </c>
      <c r="F93" t="str">
        <f t="shared" si="8"/>
        <v>Branco</v>
      </c>
    </row>
    <row r="94" spans="1:6" x14ac:dyDescent="0.3">
      <c r="A94" s="16">
        <v>202003</v>
      </c>
      <c r="B94" s="4" t="s">
        <v>91</v>
      </c>
      <c r="C94" t="str">
        <f t="shared" si="6"/>
        <v>Parede</v>
      </c>
      <c r="D94">
        <f t="shared" si="5"/>
        <v>60</v>
      </c>
      <c r="E94" t="str">
        <f t="shared" si="7"/>
        <v>220V</v>
      </c>
      <c r="F94" t="str">
        <f t="shared" si="8"/>
        <v>Açai</v>
      </c>
    </row>
    <row r="95" spans="1:6" x14ac:dyDescent="0.3">
      <c r="A95" s="16">
        <v>202007</v>
      </c>
      <c r="B95" s="4" t="s">
        <v>92</v>
      </c>
      <c r="C95" t="str">
        <f t="shared" si="6"/>
        <v>Parede</v>
      </c>
      <c r="D95">
        <f t="shared" si="5"/>
        <v>60</v>
      </c>
      <c r="E95" t="str">
        <f t="shared" si="7"/>
        <v>220V</v>
      </c>
      <c r="F95" t="str">
        <f t="shared" si="8"/>
        <v>Bronze</v>
      </c>
    </row>
    <row r="96" spans="1:6" x14ac:dyDescent="0.3">
      <c r="A96" s="16">
        <v>202008</v>
      </c>
      <c r="B96" s="4" t="s">
        <v>93</v>
      </c>
      <c r="C96" t="str">
        <f t="shared" si="6"/>
        <v>Parede</v>
      </c>
      <c r="D96">
        <f t="shared" si="5"/>
        <v>60</v>
      </c>
      <c r="E96" t="str">
        <f t="shared" si="7"/>
        <v>220V</v>
      </c>
      <c r="F96" t="str">
        <f t="shared" si="8"/>
        <v>Prata</v>
      </c>
    </row>
    <row r="97" spans="1:6" x14ac:dyDescent="0.3">
      <c r="A97" s="16">
        <v>202009</v>
      </c>
      <c r="B97" s="4" t="s">
        <v>94</v>
      </c>
      <c r="C97" t="str">
        <f t="shared" si="6"/>
        <v>Parede</v>
      </c>
      <c r="D97">
        <f t="shared" si="5"/>
        <v>60</v>
      </c>
      <c r="E97" t="str">
        <f t="shared" si="7"/>
        <v>220V</v>
      </c>
      <c r="F97" t="str">
        <f t="shared" si="8"/>
        <v>Titanium</v>
      </c>
    </row>
    <row r="98" spans="1:6" x14ac:dyDescent="0.3">
      <c r="A98" s="16">
        <v>202010</v>
      </c>
      <c r="B98" s="4" t="s">
        <v>95</v>
      </c>
      <c r="C98" t="str">
        <f t="shared" si="6"/>
        <v>Parede</v>
      </c>
      <c r="D98">
        <f t="shared" si="5"/>
        <v>60</v>
      </c>
      <c r="E98" t="str">
        <f t="shared" si="7"/>
        <v>220V</v>
      </c>
      <c r="F98" t="str">
        <f t="shared" si="8"/>
        <v>Dark</v>
      </c>
    </row>
    <row r="99" spans="1:6" x14ac:dyDescent="0.3">
      <c r="A99" s="15">
        <v>203001</v>
      </c>
      <c r="B99" s="4" t="s">
        <v>96</v>
      </c>
      <c r="C99" t="str">
        <f t="shared" si="6"/>
        <v>Coluna</v>
      </c>
      <c r="D99">
        <f t="shared" si="5"/>
        <v>50</v>
      </c>
      <c r="E99" t="str">
        <f t="shared" si="7"/>
        <v>220V</v>
      </c>
      <c r="F99" t="str">
        <f t="shared" si="8"/>
        <v>Preto</v>
      </c>
    </row>
    <row r="100" spans="1:6" x14ac:dyDescent="0.3">
      <c r="A100" s="15">
        <v>203002</v>
      </c>
      <c r="B100" s="4" t="s">
        <v>97</v>
      </c>
      <c r="C100" t="str">
        <f t="shared" si="6"/>
        <v>Coluna</v>
      </c>
      <c r="D100">
        <f t="shared" si="5"/>
        <v>50</v>
      </c>
      <c r="E100" t="str">
        <f t="shared" si="7"/>
        <v>220V</v>
      </c>
      <c r="F100" t="str">
        <f t="shared" si="8"/>
        <v>Branco</v>
      </c>
    </row>
    <row r="101" spans="1:6" x14ac:dyDescent="0.3">
      <c r="A101" s="15">
        <v>203003</v>
      </c>
      <c r="B101" s="4" t="s">
        <v>98</v>
      </c>
      <c r="C101" t="str">
        <f t="shared" si="6"/>
        <v>Coluna</v>
      </c>
      <c r="D101">
        <f t="shared" si="5"/>
        <v>50</v>
      </c>
      <c r="E101" t="str">
        <f t="shared" si="7"/>
        <v>220V</v>
      </c>
      <c r="F101" t="str">
        <f t="shared" si="8"/>
        <v>Açai</v>
      </c>
    </row>
    <row r="102" spans="1:6" x14ac:dyDescent="0.3">
      <c r="A102" s="15">
        <v>203004</v>
      </c>
      <c r="B102" s="4" t="s">
        <v>99</v>
      </c>
      <c r="C102" t="str">
        <f t="shared" si="6"/>
        <v>Coluna</v>
      </c>
      <c r="D102">
        <f t="shared" si="5"/>
        <v>50</v>
      </c>
      <c r="E102" t="str">
        <f t="shared" si="7"/>
        <v>220V</v>
      </c>
      <c r="F102" t="str">
        <f t="shared" si="8"/>
        <v>Vermelho</v>
      </c>
    </row>
    <row r="103" spans="1:6" x14ac:dyDescent="0.3">
      <c r="A103" s="15">
        <v>203005</v>
      </c>
      <c r="B103" s="4" t="s">
        <v>100</v>
      </c>
      <c r="C103" t="str">
        <f t="shared" si="6"/>
        <v>Coluna</v>
      </c>
      <c r="D103">
        <f t="shared" si="5"/>
        <v>50</v>
      </c>
      <c r="E103" t="str">
        <f t="shared" si="7"/>
        <v>220V</v>
      </c>
      <c r="F103" t="str">
        <f t="shared" si="8"/>
        <v>Cappuccino</v>
      </c>
    </row>
    <row r="104" spans="1:6" x14ac:dyDescent="0.3">
      <c r="A104" s="15">
        <v>203006</v>
      </c>
      <c r="B104" s="4" t="s">
        <v>101</v>
      </c>
      <c r="C104" t="str">
        <f t="shared" si="6"/>
        <v>Coluna</v>
      </c>
      <c r="D104">
        <f t="shared" si="5"/>
        <v>50</v>
      </c>
      <c r="E104" t="str">
        <f t="shared" si="7"/>
        <v>220V</v>
      </c>
      <c r="F104" t="str">
        <f t="shared" si="8"/>
        <v>Ouro</v>
      </c>
    </row>
    <row r="105" spans="1:6" x14ac:dyDescent="0.3">
      <c r="A105" s="15">
        <v>203007</v>
      </c>
      <c r="B105" s="4" t="s">
        <v>102</v>
      </c>
      <c r="C105" t="str">
        <f t="shared" si="6"/>
        <v>Coluna</v>
      </c>
      <c r="D105">
        <f t="shared" si="5"/>
        <v>50</v>
      </c>
      <c r="E105" t="str">
        <f t="shared" si="7"/>
        <v>220V</v>
      </c>
      <c r="F105" t="str">
        <f t="shared" si="8"/>
        <v>Bronze</v>
      </c>
    </row>
    <row r="106" spans="1:6" x14ac:dyDescent="0.3">
      <c r="A106" s="15">
        <v>203008</v>
      </c>
      <c r="B106" s="4" t="s">
        <v>103</v>
      </c>
      <c r="C106" t="str">
        <f t="shared" si="6"/>
        <v>Coluna</v>
      </c>
      <c r="D106">
        <f t="shared" si="5"/>
        <v>50</v>
      </c>
      <c r="E106" t="str">
        <f t="shared" si="7"/>
        <v>220V</v>
      </c>
      <c r="F106" t="str">
        <f t="shared" si="8"/>
        <v>Prata</v>
      </c>
    </row>
    <row r="107" spans="1:6" x14ac:dyDescent="0.3">
      <c r="A107" s="15">
        <v>203009</v>
      </c>
      <c r="B107" s="4" t="s">
        <v>104</v>
      </c>
      <c r="C107" t="str">
        <f t="shared" si="6"/>
        <v>Coluna</v>
      </c>
      <c r="D107">
        <f t="shared" si="5"/>
        <v>50</v>
      </c>
      <c r="E107" t="str">
        <f t="shared" si="7"/>
        <v>220V</v>
      </c>
      <c r="F107" t="str">
        <f t="shared" si="8"/>
        <v>Titanium</v>
      </c>
    </row>
    <row r="108" spans="1:6" x14ac:dyDescent="0.3">
      <c r="A108" s="15">
        <v>203010</v>
      </c>
      <c r="B108" s="4" t="s">
        <v>105</v>
      </c>
      <c r="C108" t="str">
        <f t="shared" si="6"/>
        <v>Coluna</v>
      </c>
      <c r="D108">
        <f t="shared" si="5"/>
        <v>50</v>
      </c>
      <c r="E108" t="str">
        <f t="shared" si="7"/>
        <v>220V</v>
      </c>
      <c r="F108" t="str">
        <f t="shared" si="8"/>
        <v>Dark</v>
      </c>
    </row>
    <row r="109" spans="1:6" x14ac:dyDescent="0.3">
      <c r="A109" s="15">
        <v>203011</v>
      </c>
      <c r="B109" s="4" t="s">
        <v>106</v>
      </c>
      <c r="C109" t="str">
        <f t="shared" si="6"/>
        <v>Coluna</v>
      </c>
      <c r="D109">
        <f t="shared" si="5"/>
        <v>50</v>
      </c>
      <c r="E109" t="str">
        <f t="shared" si="7"/>
        <v>220V</v>
      </c>
      <c r="F109" t="str">
        <f t="shared" si="8"/>
        <v/>
      </c>
    </row>
    <row r="110" spans="1:6" x14ac:dyDescent="0.3">
      <c r="A110" s="16">
        <v>204001</v>
      </c>
      <c r="B110" s="4" t="s">
        <v>107</v>
      </c>
      <c r="C110" t="str">
        <f t="shared" si="6"/>
        <v>Coluna</v>
      </c>
      <c r="D110">
        <f t="shared" si="5"/>
        <v>60</v>
      </c>
      <c r="E110" t="str">
        <f t="shared" si="7"/>
        <v>220V</v>
      </c>
      <c r="F110" t="str">
        <f t="shared" si="8"/>
        <v>Preto</v>
      </c>
    </row>
    <row r="111" spans="1:6" x14ac:dyDescent="0.3">
      <c r="A111" s="16">
        <v>204002</v>
      </c>
      <c r="B111" s="4" t="s">
        <v>108</v>
      </c>
      <c r="C111" t="str">
        <f t="shared" si="6"/>
        <v>Coluna</v>
      </c>
      <c r="D111">
        <f t="shared" si="5"/>
        <v>60</v>
      </c>
      <c r="E111" t="str">
        <f t="shared" si="7"/>
        <v>220V</v>
      </c>
      <c r="F111" t="str">
        <f t="shared" si="8"/>
        <v>Branco</v>
      </c>
    </row>
    <row r="112" spans="1:6" x14ac:dyDescent="0.3">
      <c r="A112" s="16">
        <v>204003</v>
      </c>
      <c r="B112" s="4" t="s">
        <v>109</v>
      </c>
      <c r="C112" t="str">
        <f t="shared" si="6"/>
        <v>Coluna</v>
      </c>
      <c r="D112">
        <f t="shared" si="5"/>
        <v>60</v>
      </c>
      <c r="E112" t="str">
        <f t="shared" si="7"/>
        <v>220V</v>
      </c>
      <c r="F112" t="str">
        <f t="shared" si="8"/>
        <v>Açai</v>
      </c>
    </row>
    <row r="113" spans="1:6" x14ac:dyDescent="0.3">
      <c r="A113" s="16">
        <v>204004</v>
      </c>
      <c r="B113" s="4" t="s">
        <v>110</v>
      </c>
      <c r="C113" t="str">
        <f t="shared" si="6"/>
        <v>Coluna</v>
      </c>
      <c r="D113">
        <f t="shared" si="5"/>
        <v>60</v>
      </c>
      <c r="E113" t="str">
        <f t="shared" si="7"/>
        <v>220V</v>
      </c>
      <c r="F113" t="str">
        <f t="shared" si="8"/>
        <v>Vermelho</v>
      </c>
    </row>
    <row r="114" spans="1:6" x14ac:dyDescent="0.3">
      <c r="A114" s="16">
        <v>204006</v>
      </c>
      <c r="B114" s="4" t="s">
        <v>111</v>
      </c>
      <c r="C114" t="str">
        <f t="shared" si="6"/>
        <v>Coluna</v>
      </c>
      <c r="D114">
        <f t="shared" si="5"/>
        <v>60</v>
      </c>
      <c r="E114" t="str">
        <f t="shared" si="7"/>
        <v>220V</v>
      </c>
      <c r="F114" t="str">
        <f t="shared" si="8"/>
        <v>Ouro</v>
      </c>
    </row>
    <row r="115" spans="1:6" x14ac:dyDescent="0.3">
      <c r="A115" s="16">
        <v>204007</v>
      </c>
      <c r="B115" s="4" t="s">
        <v>112</v>
      </c>
      <c r="C115" t="str">
        <f t="shared" si="6"/>
        <v>Coluna</v>
      </c>
      <c r="D115">
        <f t="shared" si="5"/>
        <v>60</v>
      </c>
      <c r="E115" t="str">
        <f t="shared" si="7"/>
        <v>220V</v>
      </c>
      <c r="F115" t="str">
        <f t="shared" si="8"/>
        <v>Bronze</v>
      </c>
    </row>
    <row r="116" spans="1:6" x14ac:dyDescent="0.3">
      <c r="A116" s="16">
        <v>204008</v>
      </c>
      <c r="B116" s="4" t="s">
        <v>113</v>
      </c>
      <c r="C116" t="str">
        <f t="shared" si="6"/>
        <v>Coluna</v>
      </c>
      <c r="D116">
        <f t="shared" si="5"/>
        <v>60</v>
      </c>
      <c r="E116" t="str">
        <f t="shared" si="7"/>
        <v>220V</v>
      </c>
      <c r="F116" t="str">
        <f t="shared" si="8"/>
        <v>Prata</v>
      </c>
    </row>
    <row r="117" spans="1:6" x14ac:dyDescent="0.3">
      <c r="A117" s="16">
        <v>204009</v>
      </c>
      <c r="B117" s="4" t="s">
        <v>114</v>
      </c>
      <c r="C117" t="str">
        <f t="shared" si="6"/>
        <v>Coluna</v>
      </c>
      <c r="D117">
        <f t="shared" si="5"/>
        <v>60</v>
      </c>
      <c r="E117" t="str">
        <f t="shared" si="7"/>
        <v>220V</v>
      </c>
      <c r="F117" t="str">
        <f t="shared" si="8"/>
        <v>Titanium</v>
      </c>
    </row>
    <row r="118" spans="1:6" x14ac:dyDescent="0.3">
      <c r="A118" s="16">
        <v>204010</v>
      </c>
      <c r="B118" s="4" t="s">
        <v>115</v>
      </c>
      <c r="C118" t="str">
        <f t="shared" si="6"/>
        <v>Coluna</v>
      </c>
      <c r="D118">
        <f t="shared" si="5"/>
        <v>60</v>
      </c>
      <c r="E118" t="str">
        <f t="shared" si="7"/>
        <v>220V</v>
      </c>
      <c r="F118" t="str">
        <f t="shared" si="8"/>
        <v>Dark</v>
      </c>
    </row>
    <row r="119" spans="1:6" x14ac:dyDescent="0.3">
      <c r="A119" s="15">
        <v>205001</v>
      </c>
      <c r="B119" s="4" t="s">
        <v>116</v>
      </c>
      <c r="C119" t="str">
        <f t="shared" si="6"/>
        <v>Twister</v>
      </c>
      <c r="D119">
        <f t="shared" si="5"/>
        <v>50</v>
      </c>
      <c r="E119" t="str">
        <f t="shared" si="7"/>
        <v>220V</v>
      </c>
      <c r="F119" t="str">
        <f t="shared" si="8"/>
        <v>Preto</v>
      </c>
    </row>
    <row r="120" spans="1:6" x14ac:dyDescent="0.3">
      <c r="A120" s="15">
        <v>205002</v>
      </c>
      <c r="B120" s="4" t="s">
        <v>117</v>
      </c>
      <c r="C120" t="str">
        <f t="shared" si="6"/>
        <v>Twister</v>
      </c>
      <c r="D120">
        <f t="shared" si="5"/>
        <v>50</v>
      </c>
      <c r="E120" t="str">
        <f t="shared" si="7"/>
        <v>220V</v>
      </c>
      <c r="F120" t="str">
        <f t="shared" si="8"/>
        <v>Branco</v>
      </c>
    </row>
    <row r="121" spans="1:6" x14ac:dyDescent="0.3">
      <c r="A121" s="15">
        <v>205003</v>
      </c>
      <c r="B121" s="4" t="s">
        <v>118</v>
      </c>
      <c r="C121" t="str">
        <f t="shared" si="6"/>
        <v>Twister</v>
      </c>
      <c r="D121">
        <f t="shared" si="5"/>
        <v>50</v>
      </c>
      <c r="E121" t="str">
        <f t="shared" si="7"/>
        <v>220V</v>
      </c>
      <c r="F121" t="str">
        <f t="shared" si="8"/>
        <v/>
      </c>
    </row>
    <row r="122" spans="1:6" x14ac:dyDescent="0.3">
      <c r="A122" s="15">
        <v>205007</v>
      </c>
      <c r="B122" s="4" t="s">
        <v>119</v>
      </c>
      <c r="C122" t="str">
        <f t="shared" si="6"/>
        <v>Twister</v>
      </c>
      <c r="D122">
        <f t="shared" si="5"/>
        <v>50</v>
      </c>
      <c r="E122" t="str">
        <f t="shared" si="7"/>
        <v>220V</v>
      </c>
      <c r="F122" t="str">
        <f t="shared" si="8"/>
        <v>Bronze</v>
      </c>
    </row>
    <row r="123" spans="1:6" x14ac:dyDescent="0.3">
      <c r="A123" s="15">
        <v>205008</v>
      </c>
      <c r="B123" s="4" t="s">
        <v>120</v>
      </c>
      <c r="C123" t="str">
        <f t="shared" si="6"/>
        <v>Twister</v>
      </c>
      <c r="D123">
        <f t="shared" si="5"/>
        <v>50</v>
      </c>
      <c r="E123" t="str">
        <f t="shared" si="7"/>
        <v>220V</v>
      </c>
      <c r="F123" t="str">
        <f t="shared" si="8"/>
        <v>Prata</v>
      </c>
    </row>
    <row r="124" spans="1:6" x14ac:dyDescent="0.3">
      <c r="A124" s="15">
        <v>205009</v>
      </c>
      <c r="B124" s="4" t="s">
        <v>121</v>
      </c>
      <c r="C124" t="str">
        <f t="shared" si="6"/>
        <v>Twister</v>
      </c>
      <c r="D124">
        <f t="shared" si="5"/>
        <v>50</v>
      </c>
      <c r="E124" t="str">
        <f t="shared" si="7"/>
        <v>220V</v>
      </c>
      <c r="F124" t="str">
        <f t="shared" si="8"/>
        <v>Titanium</v>
      </c>
    </row>
    <row r="125" spans="1:6" x14ac:dyDescent="0.3">
      <c r="A125" s="15">
        <v>205010</v>
      </c>
      <c r="B125" s="4" t="s">
        <v>122</v>
      </c>
      <c r="C125" t="str">
        <f t="shared" si="6"/>
        <v>Twister</v>
      </c>
      <c r="D125">
        <f t="shared" si="5"/>
        <v>50</v>
      </c>
      <c r="E125" t="str">
        <f t="shared" si="7"/>
        <v>220V</v>
      </c>
      <c r="F125" t="str">
        <f t="shared" si="8"/>
        <v>Dark</v>
      </c>
    </row>
    <row r="126" spans="1:6" x14ac:dyDescent="0.3">
      <c r="A126" s="16">
        <v>206001</v>
      </c>
      <c r="B126" s="4" t="s">
        <v>123</v>
      </c>
      <c r="C126" t="str">
        <f t="shared" si="6"/>
        <v>Twister</v>
      </c>
      <c r="D126">
        <f t="shared" si="5"/>
        <v>60</v>
      </c>
      <c r="E126" t="str">
        <f t="shared" si="7"/>
        <v>220V</v>
      </c>
      <c r="F126" t="str">
        <f t="shared" si="8"/>
        <v>Preto</v>
      </c>
    </row>
    <row r="127" spans="1:6" x14ac:dyDescent="0.3">
      <c r="A127" s="16">
        <v>206002</v>
      </c>
      <c r="B127" s="4" t="s">
        <v>124</v>
      </c>
      <c r="C127" t="str">
        <f t="shared" si="6"/>
        <v>Twister</v>
      </c>
      <c r="D127">
        <f t="shared" si="5"/>
        <v>60</v>
      </c>
      <c r="E127" t="str">
        <f t="shared" si="7"/>
        <v>220V</v>
      </c>
      <c r="F127" t="str">
        <f t="shared" si="8"/>
        <v>Branco</v>
      </c>
    </row>
    <row r="128" spans="1:6" x14ac:dyDescent="0.3">
      <c r="A128" s="16">
        <v>206003</v>
      </c>
      <c r="B128" s="4" t="s">
        <v>125</v>
      </c>
      <c r="C128" t="str">
        <f t="shared" si="6"/>
        <v>Twister</v>
      </c>
      <c r="D128">
        <f t="shared" si="5"/>
        <v>60</v>
      </c>
      <c r="E128" t="str">
        <f t="shared" si="7"/>
        <v>220V</v>
      </c>
      <c r="F128" t="str">
        <f t="shared" si="8"/>
        <v/>
      </c>
    </row>
    <row r="129" spans="1:6" x14ac:dyDescent="0.3">
      <c r="A129" s="16">
        <v>206007</v>
      </c>
      <c r="B129" s="4" t="s">
        <v>126</v>
      </c>
      <c r="C129" t="str">
        <f t="shared" si="6"/>
        <v>Twister</v>
      </c>
      <c r="D129">
        <f t="shared" ref="D129:D130" si="9">IF(ISNUMBER(FIND("4.3",B129)),43,
IF(ISNUMBER(FIND("50",B129)),50,
IF(ISNUMBER(FIND("60",B129)),60,"")))</f>
        <v>60</v>
      </c>
      <c r="E129" t="str">
        <f t="shared" si="7"/>
        <v>220V</v>
      </c>
      <c r="F129" t="str">
        <f t="shared" si="8"/>
        <v>Bronze</v>
      </c>
    </row>
    <row r="130" spans="1:6" x14ac:dyDescent="0.3">
      <c r="A130" s="16">
        <v>206008</v>
      </c>
      <c r="B130" s="4" t="s">
        <v>127</v>
      </c>
      <c r="C130" t="str">
        <f t="shared" si="6"/>
        <v>Twister</v>
      </c>
      <c r="D130">
        <f t="shared" si="9"/>
        <v>60</v>
      </c>
      <c r="E130" t="str">
        <f t="shared" si="7"/>
        <v>220V</v>
      </c>
      <c r="F130" t="str">
        <f t="shared" si="8"/>
        <v>Prata</v>
      </c>
    </row>
    <row r="131" spans="1:6" x14ac:dyDescent="0.3">
      <c r="A131" s="16">
        <v>206009</v>
      </c>
      <c r="B131" s="4" t="s">
        <v>128</v>
      </c>
      <c r="C131" t="str">
        <f t="shared" ref="C131:C192" si="10">IF(LEFT(B131,4)="MESA","Mesa",
IF(LEFT(B131,6)="PAREDE","Parede",
IF(LEFT(B131,6)="COLUNA","Coluna",
IF(LEFT(B131,7)="PRACTICE","Practice",
"Twister"))))</f>
        <v>Twister</v>
      </c>
      <c r="D131">
        <f>IF(ISNUMBER(FIND("4.3",B131)),43,
IF(ISNUMBER(FIND("50",B131)),50,
IF(ISNUMBER(FIND("60",B131)),60,"")))</f>
        <v>60</v>
      </c>
      <c r="E131" t="str">
        <f t="shared" ref="E131:E192" si="11">IF(ISNUMBER(FIND("220",B131)),"220V",
IF(ISNUMBER(FIND("127",B131)),"127V",
IF(ISNUMBER(FIND("BIVOLT",B131)),"Bivolt","")))</f>
        <v>220V</v>
      </c>
      <c r="F131" t="str">
        <f t="shared" ref="F131:F192" si="12">IF(ISNUMBER(FIND("PRETO",B131)),"Preto",
IF(ISNUMBER(FIND("TITANIUM",B131)),"Titanium",
IF(ISNUMBER(FIND("CAPPUCCINO",B131)),"Cappuccino",
IF(ISNUMBER(FIND("DARK",B131)),"Dark",
IF(ISNUMBER(FIND("BRANCO",B131)),"Branco",
IF(ISNUMBER(FIND("BRONZE",B131)),"Bronze",
IF(ISNUMBER(FIND("PRATA",B131)),"Prata",
IF(ISNUMBER(FIND("AÇAI",B131)),"Açai",
IF(ISNUMBER(FIND("VERMELHO",B131)),"Vermelho",
IF(ISNUMBER(FIND("OURO",B131)),"Ouro",
""))))))))))</f>
        <v>Titanium</v>
      </c>
    </row>
    <row r="132" spans="1:6" x14ac:dyDescent="0.3">
      <c r="A132" s="16">
        <v>206010</v>
      </c>
      <c r="B132" s="4" t="s">
        <v>129</v>
      </c>
      <c r="C132" t="str">
        <f t="shared" si="10"/>
        <v>Twister</v>
      </c>
      <c r="D132">
        <f t="shared" ref="D132:D192" si="13">IF(ISNUMBER(FIND("4.3",B132)),43,
IF(ISNUMBER(FIND("50",B132)),50,
IF(ISNUMBER(FIND("60",B132)),60,"")))</f>
        <v>60</v>
      </c>
      <c r="E132" t="str">
        <f t="shared" si="11"/>
        <v>220V</v>
      </c>
      <c r="F132" t="str">
        <f t="shared" si="12"/>
        <v>Dark</v>
      </c>
    </row>
    <row r="133" spans="1:6" x14ac:dyDescent="0.3">
      <c r="A133" s="14">
        <v>207003</v>
      </c>
      <c r="B133" s="4" t="s">
        <v>130</v>
      </c>
      <c r="C133" t="str">
        <f t="shared" si="10"/>
        <v>Mesa</v>
      </c>
      <c r="D133">
        <f t="shared" si="13"/>
        <v>43</v>
      </c>
      <c r="E133" t="str">
        <f t="shared" si="11"/>
        <v>220V</v>
      </c>
      <c r="F133" t="str">
        <f t="shared" si="12"/>
        <v>Açai</v>
      </c>
    </row>
    <row r="134" spans="1:6" x14ac:dyDescent="0.3">
      <c r="A134" s="14">
        <v>207004</v>
      </c>
      <c r="B134" s="4" t="s">
        <v>131</v>
      </c>
      <c r="C134" t="str">
        <f t="shared" si="10"/>
        <v>Mesa</v>
      </c>
      <c r="D134">
        <f t="shared" si="13"/>
        <v>43</v>
      </c>
      <c r="E134" t="str">
        <f t="shared" si="11"/>
        <v>220V</v>
      </c>
      <c r="F134" t="str">
        <f t="shared" si="12"/>
        <v>Vermelho</v>
      </c>
    </row>
    <row r="135" spans="1:6" x14ac:dyDescent="0.3">
      <c r="A135" s="14">
        <v>207007</v>
      </c>
      <c r="B135" s="4" t="s">
        <v>132</v>
      </c>
      <c r="C135" t="str">
        <f t="shared" si="10"/>
        <v>Mesa</v>
      </c>
      <c r="D135">
        <f t="shared" si="13"/>
        <v>43</v>
      </c>
      <c r="E135" t="str">
        <f t="shared" si="11"/>
        <v>220V</v>
      </c>
      <c r="F135" t="str">
        <f t="shared" si="12"/>
        <v>Bronze</v>
      </c>
    </row>
    <row r="136" spans="1:6" x14ac:dyDescent="0.3">
      <c r="A136" s="14">
        <v>207008</v>
      </c>
      <c r="B136" s="4" t="s">
        <v>133</v>
      </c>
      <c r="C136" t="str">
        <f t="shared" si="10"/>
        <v>Mesa</v>
      </c>
      <c r="D136">
        <f t="shared" si="13"/>
        <v>43</v>
      </c>
      <c r="E136" t="str">
        <f t="shared" si="11"/>
        <v>220V</v>
      </c>
      <c r="F136" t="str">
        <f t="shared" si="12"/>
        <v>Prata</v>
      </c>
    </row>
    <row r="137" spans="1:6" x14ac:dyDescent="0.3">
      <c r="A137" s="14">
        <v>207009</v>
      </c>
      <c r="B137" s="4" t="s">
        <v>134</v>
      </c>
      <c r="C137" t="str">
        <f t="shared" si="10"/>
        <v>Mesa</v>
      </c>
      <c r="D137">
        <f t="shared" si="13"/>
        <v>43</v>
      </c>
      <c r="E137" t="str">
        <f t="shared" si="11"/>
        <v>220V</v>
      </c>
      <c r="F137" t="str">
        <f t="shared" si="12"/>
        <v>Titanium</v>
      </c>
    </row>
    <row r="138" spans="1:6" x14ac:dyDescent="0.3">
      <c r="A138" s="10">
        <v>208009</v>
      </c>
      <c r="B138" s="4" t="s">
        <v>135</v>
      </c>
      <c r="C138" t="str">
        <f t="shared" si="10"/>
        <v>Parede</v>
      </c>
      <c r="D138">
        <f t="shared" si="13"/>
        <v>43</v>
      </c>
      <c r="E138" t="str">
        <f t="shared" si="11"/>
        <v>220V</v>
      </c>
      <c r="F138" t="str">
        <f t="shared" si="12"/>
        <v>Titanium</v>
      </c>
    </row>
    <row r="139" spans="1:6" x14ac:dyDescent="0.3">
      <c r="A139" s="17">
        <v>209003</v>
      </c>
      <c r="B139" s="4" t="s">
        <v>136</v>
      </c>
      <c r="C139" t="str">
        <f t="shared" si="10"/>
        <v>Coluna</v>
      </c>
      <c r="D139">
        <f t="shared" si="13"/>
        <v>43</v>
      </c>
      <c r="E139" t="str">
        <f t="shared" si="11"/>
        <v>220V</v>
      </c>
      <c r="F139" t="str">
        <f t="shared" si="12"/>
        <v>Açai</v>
      </c>
    </row>
    <row r="140" spans="1:6" x14ac:dyDescent="0.3">
      <c r="A140" s="17">
        <v>209004</v>
      </c>
      <c r="B140" s="4" t="s">
        <v>137</v>
      </c>
      <c r="C140" t="str">
        <f t="shared" si="10"/>
        <v>Coluna</v>
      </c>
      <c r="D140">
        <f t="shared" si="13"/>
        <v>43</v>
      </c>
      <c r="E140" t="str">
        <f t="shared" si="11"/>
        <v>220V</v>
      </c>
      <c r="F140" t="str">
        <f t="shared" si="12"/>
        <v>Vermelho</v>
      </c>
    </row>
    <row r="141" spans="1:6" x14ac:dyDescent="0.3">
      <c r="A141" s="17">
        <v>209007</v>
      </c>
      <c r="B141" s="4" t="s">
        <v>138</v>
      </c>
      <c r="C141" t="str">
        <f t="shared" si="10"/>
        <v>Coluna</v>
      </c>
      <c r="D141">
        <f t="shared" si="13"/>
        <v>43</v>
      </c>
      <c r="E141" t="str">
        <f t="shared" si="11"/>
        <v>220V</v>
      </c>
      <c r="F141" t="str">
        <f t="shared" si="12"/>
        <v>Bronze</v>
      </c>
    </row>
    <row r="142" spans="1:6" x14ac:dyDescent="0.3">
      <c r="A142" s="17">
        <v>209008</v>
      </c>
      <c r="B142" s="4" t="s">
        <v>139</v>
      </c>
      <c r="C142" t="str">
        <f t="shared" si="10"/>
        <v>Coluna</v>
      </c>
      <c r="D142">
        <f t="shared" si="13"/>
        <v>43</v>
      </c>
      <c r="E142" t="str">
        <f t="shared" si="11"/>
        <v>220V</v>
      </c>
      <c r="F142" t="str">
        <f t="shared" si="12"/>
        <v>Prata</v>
      </c>
    </row>
    <row r="143" spans="1:6" ht="15" thickBot="1" x14ac:dyDescent="0.35">
      <c r="A143" s="17">
        <v>209009</v>
      </c>
      <c r="B143" s="4" t="s">
        <v>140</v>
      </c>
      <c r="C143" t="str">
        <f t="shared" si="10"/>
        <v>Coluna</v>
      </c>
      <c r="D143">
        <f t="shared" si="13"/>
        <v>43</v>
      </c>
      <c r="E143" t="str">
        <f t="shared" si="11"/>
        <v>220V</v>
      </c>
      <c r="F143" t="str">
        <f t="shared" si="12"/>
        <v>Titanium</v>
      </c>
    </row>
    <row r="144" spans="1:6" ht="15" thickBot="1" x14ac:dyDescent="0.35">
      <c r="A144" s="18">
        <v>210001</v>
      </c>
      <c r="B144" s="13" t="s">
        <v>141</v>
      </c>
      <c r="C144" t="str">
        <f t="shared" si="10"/>
        <v>Twister</v>
      </c>
      <c r="D144">
        <f>IF(ISNUMBER(FIND("4.3",B144)),43,
IF(ISNUMBER(FIND("50",B144)),50,
IF(ISNUMBER(FIND("60",B144)),60,"")))</f>
        <v>60</v>
      </c>
      <c r="E144" t="str">
        <f t="shared" si="11"/>
        <v>220V</v>
      </c>
      <c r="F144" t="str">
        <f t="shared" si="12"/>
        <v>Preto</v>
      </c>
    </row>
    <row r="145" spans="1:6" ht="15" thickBot="1" x14ac:dyDescent="0.35">
      <c r="A145" s="19">
        <v>211001</v>
      </c>
      <c r="B145" s="13" t="s">
        <v>142</v>
      </c>
      <c r="C145" t="str">
        <f t="shared" si="10"/>
        <v>Twister</v>
      </c>
      <c r="D145">
        <f t="shared" si="13"/>
        <v>60</v>
      </c>
      <c r="E145" t="str">
        <f t="shared" si="11"/>
        <v>220V</v>
      </c>
      <c r="F145" t="str">
        <f t="shared" si="12"/>
        <v>Preto</v>
      </c>
    </row>
    <row r="146" spans="1:6" x14ac:dyDescent="0.3">
      <c r="A146" s="20">
        <v>300001</v>
      </c>
      <c r="B146" s="4" t="s">
        <v>143</v>
      </c>
      <c r="C146" t="str">
        <f t="shared" si="10"/>
        <v>Mesa</v>
      </c>
      <c r="D146">
        <f t="shared" si="13"/>
        <v>50</v>
      </c>
      <c r="E146" t="str">
        <f t="shared" si="11"/>
        <v>Bivolt</v>
      </c>
      <c r="F146" t="str">
        <f t="shared" si="12"/>
        <v>Preto</v>
      </c>
    </row>
    <row r="147" spans="1:6" x14ac:dyDescent="0.3">
      <c r="A147" s="20">
        <v>300002</v>
      </c>
      <c r="B147" s="4" t="s">
        <v>144</v>
      </c>
      <c r="C147" t="str">
        <f t="shared" si="10"/>
        <v>Mesa</v>
      </c>
      <c r="D147">
        <f t="shared" si="13"/>
        <v>50</v>
      </c>
      <c r="E147" t="str">
        <f t="shared" si="11"/>
        <v>Bivolt</v>
      </c>
      <c r="F147" t="str">
        <f t="shared" si="12"/>
        <v>Branco</v>
      </c>
    </row>
    <row r="148" spans="1:6" x14ac:dyDescent="0.3">
      <c r="A148" s="20">
        <v>300003</v>
      </c>
      <c r="B148" s="4" t="s">
        <v>145</v>
      </c>
      <c r="C148" t="str">
        <f t="shared" si="10"/>
        <v>Mesa</v>
      </c>
      <c r="D148">
        <f t="shared" si="13"/>
        <v>50</v>
      </c>
      <c r="E148" t="str">
        <f t="shared" si="11"/>
        <v>Bivolt</v>
      </c>
      <c r="F148" t="str">
        <f t="shared" si="12"/>
        <v>Açai</v>
      </c>
    </row>
    <row r="149" spans="1:6" x14ac:dyDescent="0.3">
      <c r="A149" s="20">
        <v>300004</v>
      </c>
      <c r="B149" s="4" t="s">
        <v>146</v>
      </c>
      <c r="C149" t="str">
        <f t="shared" si="10"/>
        <v>Mesa</v>
      </c>
      <c r="D149">
        <f t="shared" si="13"/>
        <v>50</v>
      </c>
      <c r="E149" t="str">
        <f t="shared" si="11"/>
        <v>Bivolt</v>
      </c>
      <c r="F149" t="str">
        <f t="shared" si="12"/>
        <v>Vermelho</v>
      </c>
    </row>
    <row r="150" spans="1:6" x14ac:dyDescent="0.3">
      <c r="A150" s="20">
        <v>300005</v>
      </c>
      <c r="B150" s="4" t="s">
        <v>147</v>
      </c>
      <c r="C150" t="str">
        <f t="shared" si="10"/>
        <v>Mesa</v>
      </c>
      <c r="D150">
        <f t="shared" si="13"/>
        <v>50</v>
      </c>
      <c r="E150" t="str">
        <f t="shared" si="11"/>
        <v>Bivolt</v>
      </c>
      <c r="F150" t="str">
        <f t="shared" si="12"/>
        <v>Cappuccino</v>
      </c>
    </row>
    <row r="151" spans="1:6" x14ac:dyDescent="0.3">
      <c r="A151" s="20">
        <v>300006</v>
      </c>
      <c r="B151" s="4" t="s">
        <v>148</v>
      </c>
      <c r="C151" t="str">
        <f t="shared" si="10"/>
        <v>Mesa</v>
      </c>
      <c r="D151">
        <f t="shared" si="13"/>
        <v>50</v>
      </c>
      <c r="E151" t="str">
        <f t="shared" si="11"/>
        <v>Bivolt</v>
      </c>
      <c r="F151" t="str">
        <f t="shared" si="12"/>
        <v>Ouro</v>
      </c>
    </row>
    <row r="152" spans="1:6" x14ac:dyDescent="0.3">
      <c r="A152" s="20">
        <v>300007</v>
      </c>
      <c r="B152" s="4" t="s">
        <v>149</v>
      </c>
      <c r="C152" t="str">
        <f t="shared" si="10"/>
        <v>Mesa</v>
      </c>
      <c r="D152">
        <f t="shared" si="13"/>
        <v>50</v>
      </c>
      <c r="E152" t="str">
        <f t="shared" si="11"/>
        <v>Bivolt</v>
      </c>
      <c r="F152" t="str">
        <f t="shared" si="12"/>
        <v>Bronze</v>
      </c>
    </row>
    <row r="153" spans="1:6" x14ac:dyDescent="0.3">
      <c r="A153" s="20">
        <v>300008</v>
      </c>
      <c r="B153" s="4" t="s">
        <v>150</v>
      </c>
      <c r="C153" t="str">
        <f t="shared" si="10"/>
        <v>Mesa</v>
      </c>
      <c r="D153">
        <f t="shared" si="13"/>
        <v>50</v>
      </c>
      <c r="E153" t="str">
        <f t="shared" si="11"/>
        <v>Bivolt</v>
      </c>
      <c r="F153" t="str">
        <f t="shared" si="12"/>
        <v>Prata</v>
      </c>
    </row>
    <row r="154" spans="1:6" x14ac:dyDescent="0.3">
      <c r="A154" s="20">
        <v>300009</v>
      </c>
      <c r="B154" s="4" t="s">
        <v>151</v>
      </c>
      <c r="C154" t="str">
        <f t="shared" si="10"/>
        <v>Mesa</v>
      </c>
      <c r="D154">
        <f t="shared" si="13"/>
        <v>50</v>
      </c>
      <c r="E154" t="str">
        <f t="shared" si="11"/>
        <v>Bivolt</v>
      </c>
      <c r="F154" t="str">
        <f t="shared" si="12"/>
        <v>Titanium</v>
      </c>
    </row>
    <row r="155" spans="1:6" x14ac:dyDescent="0.3">
      <c r="A155" s="20">
        <v>300010</v>
      </c>
      <c r="B155" s="4" t="s">
        <v>152</v>
      </c>
      <c r="C155" t="str">
        <f t="shared" si="10"/>
        <v>Mesa</v>
      </c>
      <c r="D155">
        <f t="shared" si="13"/>
        <v>50</v>
      </c>
      <c r="E155" t="str">
        <f t="shared" si="11"/>
        <v>Bivolt</v>
      </c>
      <c r="F155" t="str">
        <f t="shared" si="12"/>
        <v>Dark</v>
      </c>
    </row>
    <row r="156" spans="1:6" x14ac:dyDescent="0.3">
      <c r="A156" s="20">
        <v>300011</v>
      </c>
      <c r="B156" s="4" t="s">
        <v>153</v>
      </c>
      <c r="C156" t="str">
        <f t="shared" si="10"/>
        <v>Mesa</v>
      </c>
      <c r="D156">
        <f t="shared" si="13"/>
        <v>50</v>
      </c>
      <c r="E156" t="str">
        <f t="shared" si="11"/>
        <v>Bivolt</v>
      </c>
      <c r="F156" t="str">
        <f t="shared" si="12"/>
        <v/>
      </c>
    </row>
    <row r="157" spans="1:6" x14ac:dyDescent="0.3">
      <c r="A157" s="21">
        <v>301001</v>
      </c>
      <c r="B157" s="4" t="s">
        <v>154</v>
      </c>
      <c r="C157" t="str">
        <f t="shared" si="10"/>
        <v>Parede</v>
      </c>
      <c r="D157">
        <f t="shared" si="13"/>
        <v>50</v>
      </c>
      <c r="E157" t="str">
        <f t="shared" si="11"/>
        <v>Bivolt</v>
      </c>
      <c r="F157" t="str">
        <f t="shared" si="12"/>
        <v>Preto</v>
      </c>
    </row>
    <row r="158" spans="1:6" x14ac:dyDescent="0.3">
      <c r="A158" s="21">
        <v>301002</v>
      </c>
      <c r="B158" s="4" t="s">
        <v>155</v>
      </c>
      <c r="C158" t="str">
        <f t="shared" si="10"/>
        <v>Parede</v>
      </c>
      <c r="D158">
        <f t="shared" si="13"/>
        <v>50</v>
      </c>
      <c r="E158" t="str">
        <f t="shared" si="11"/>
        <v>Bivolt</v>
      </c>
      <c r="F158" t="str">
        <f t="shared" si="12"/>
        <v>Branco</v>
      </c>
    </row>
    <row r="159" spans="1:6" x14ac:dyDescent="0.3">
      <c r="A159" s="21">
        <v>301003</v>
      </c>
      <c r="B159" s="4" t="s">
        <v>156</v>
      </c>
      <c r="C159" t="str">
        <f t="shared" si="10"/>
        <v>Parede</v>
      </c>
      <c r="D159">
        <f t="shared" si="13"/>
        <v>50</v>
      </c>
      <c r="E159" t="str">
        <f t="shared" si="11"/>
        <v>Bivolt</v>
      </c>
      <c r="F159" t="str">
        <f t="shared" si="12"/>
        <v>Açai</v>
      </c>
    </row>
    <row r="160" spans="1:6" x14ac:dyDescent="0.3">
      <c r="A160" s="21">
        <v>301007</v>
      </c>
      <c r="B160" s="4" t="s">
        <v>157</v>
      </c>
      <c r="C160" t="str">
        <f t="shared" si="10"/>
        <v>Parede</v>
      </c>
      <c r="D160">
        <f t="shared" si="13"/>
        <v>50</v>
      </c>
      <c r="E160" t="str">
        <f t="shared" si="11"/>
        <v>Bivolt</v>
      </c>
      <c r="F160" t="str">
        <f t="shared" si="12"/>
        <v>Bronze</v>
      </c>
    </row>
    <row r="161" spans="1:6" x14ac:dyDescent="0.3">
      <c r="A161" s="21">
        <v>301008</v>
      </c>
      <c r="B161" s="4" t="s">
        <v>158</v>
      </c>
      <c r="C161" t="str">
        <f t="shared" si="10"/>
        <v>Parede</v>
      </c>
      <c r="D161">
        <f t="shared" si="13"/>
        <v>50</v>
      </c>
      <c r="E161" t="str">
        <f t="shared" si="11"/>
        <v>Bivolt</v>
      </c>
      <c r="F161" t="str">
        <f t="shared" si="12"/>
        <v>Prata</v>
      </c>
    </row>
    <row r="162" spans="1:6" x14ac:dyDescent="0.3">
      <c r="A162" s="21">
        <v>301009</v>
      </c>
      <c r="B162" s="4" t="s">
        <v>159</v>
      </c>
      <c r="C162" t="str">
        <f t="shared" si="10"/>
        <v>Parede</v>
      </c>
      <c r="D162">
        <f t="shared" si="13"/>
        <v>50</v>
      </c>
      <c r="E162" t="str">
        <f t="shared" si="11"/>
        <v>Bivolt</v>
      </c>
      <c r="F162" t="str">
        <f t="shared" si="12"/>
        <v>Titanium</v>
      </c>
    </row>
    <row r="163" spans="1:6" x14ac:dyDescent="0.3">
      <c r="A163" s="21">
        <v>301010</v>
      </c>
      <c r="B163" s="4" t="s">
        <v>160</v>
      </c>
      <c r="C163" t="str">
        <f t="shared" si="10"/>
        <v>Parede</v>
      </c>
      <c r="D163">
        <f t="shared" si="13"/>
        <v>50</v>
      </c>
      <c r="E163" t="str">
        <f t="shared" si="11"/>
        <v>Bivolt</v>
      </c>
      <c r="F163" t="str">
        <f t="shared" si="12"/>
        <v>Dark</v>
      </c>
    </row>
    <row r="164" spans="1:6" x14ac:dyDescent="0.3">
      <c r="A164" s="22">
        <v>302001</v>
      </c>
      <c r="B164" s="4" t="s">
        <v>161</v>
      </c>
      <c r="C164" t="str">
        <f t="shared" si="10"/>
        <v>Parede</v>
      </c>
      <c r="D164">
        <f t="shared" si="13"/>
        <v>60</v>
      </c>
      <c r="E164" t="str">
        <f t="shared" si="11"/>
        <v>Bivolt</v>
      </c>
      <c r="F164" t="str">
        <f t="shared" si="12"/>
        <v>Preto</v>
      </c>
    </row>
    <row r="165" spans="1:6" x14ac:dyDescent="0.3">
      <c r="A165" s="22">
        <v>302002</v>
      </c>
      <c r="B165" s="4" t="s">
        <v>162</v>
      </c>
      <c r="C165" t="str">
        <f t="shared" si="10"/>
        <v>Parede</v>
      </c>
      <c r="D165">
        <f t="shared" si="13"/>
        <v>60</v>
      </c>
      <c r="E165" t="str">
        <f t="shared" si="11"/>
        <v>Bivolt</v>
      </c>
      <c r="F165" t="str">
        <f t="shared" si="12"/>
        <v>Branco</v>
      </c>
    </row>
    <row r="166" spans="1:6" x14ac:dyDescent="0.3">
      <c r="A166" s="22">
        <v>302003</v>
      </c>
      <c r="B166" s="4" t="s">
        <v>163</v>
      </c>
      <c r="C166" t="str">
        <f t="shared" si="10"/>
        <v>Parede</v>
      </c>
      <c r="D166">
        <f t="shared" si="13"/>
        <v>60</v>
      </c>
      <c r="E166" t="str">
        <f t="shared" si="11"/>
        <v>Bivolt</v>
      </c>
      <c r="F166" t="str">
        <f t="shared" si="12"/>
        <v>Açai</v>
      </c>
    </row>
    <row r="167" spans="1:6" x14ac:dyDescent="0.3">
      <c r="A167" s="22">
        <v>302007</v>
      </c>
      <c r="B167" s="4" t="s">
        <v>164</v>
      </c>
      <c r="C167" t="str">
        <f t="shared" si="10"/>
        <v>Parede</v>
      </c>
      <c r="D167">
        <f t="shared" si="13"/>
        <v>60</v>
      </c>
      <c r="E167" t="str">
        <f t="shared" si="11"/>
        <v>Bivolt</v>
      </c>
      <c r="F167" t="str">
        <f t="shared" si="12"/>
        <v>Bronze</v>
      </c>
    </row>
    <row r="168" spans="1:6" x14ac:dyDescent="0.3">
      <c r="A168" s="22">
        <v>302008</v>
      </c>
      <c r="B168" s="4" t="s">
        <v>165</v>
      </c>
      <c r="C168" t="str">
        <f t="shared" si="10"/>
        <v>Parede</v>
      </c>
      <c r="D168">
        <f t="shared" si="13"/>
        <v>60</v>
      </c>
      <c r="E168" t="str">
        <f t="shared" si="11"/>
        <v>Bivolt</v>
      </c>
      <c r="F168" t="str">
        <f t="shared" si="12"/>
        <v>Prata</v>
      </c>
    </row>
    <row r="169" spans="1:6" x14ac:dyDescent="0.3">
      <c r="A169" s="22">
        <v>302009</v>
      </c>
      <c r="B169" s="4" t="s">
        <v>166</v>
      </c>
      <c r="C169" t="str">
        <f t="shared" si="10"/>
        <v>Parede</v>
      </c>
      <c r="D169">
        <f t="shared" si="13"/>
        <v>60</v>
      </c>
      <c r="E169" t="str">
        <f t="shared" si="11"/>
        <v>Bivolt</v>
      </c>
      <c r="F169" t="str">
        <f t="shared" si="12"/>
        <v>Titanium</v>
      </c>
    </row>
    <row r="170" spans="1:6" x14ac:dyDescent="0.3">
      <c r="A170" s="22">
        <v>302010</v>
      </c>
      <c r="B170" s="4" t="s">
        <v>167</v>
      </c>
      <c r="C170" t="str">
        <f t="shared" si="10"/>
        <v>Parede</v>
      </c>
      <c r="D170">
        <f t="shared" si="13"/>
        <v>60</v>
      </c>
      <c r="E170" t="str">
        <f t="shared" si="11"/>
        <v>Bivolt</v>
      </c>
      <c r="F170" t="str">
        <f t="shared" si="12"/>
        <v>Dark</v>
      </c>
    </row>
    <row r="171" spans="1:6" x14ac:dyDescent="0.3">
      <c r="A171" s="21">
        <v>303001</v>
      </c>
      <c r="B171" s="4" t="s">
        <v>168</v>
      </c>
      <c r="C171" t="str">
        <f t="shared" si="10"/>
        <v>Coluna</v>
      </c>
      <c r="D171">
        <f t="shared" si="13"/>
        <v>50</v>
      </c>
      <c r="E171" t="str">
        <f t="shared" si="11"/>
        <v>Bivolt</v>
      </c>
      <c r="F171" t="str">
        <f t="shared" si="12"/>
        <v>Preto</v>
      </c>
    </row>
    <row r="172" spans="1:6" x14ac:dyDescent="0.3">
      <c r="A172" s="21">
        <v>303002</v>
      </c>
      <c r="B172" s="4" t="s">
        <v>169</v>
      </c>
      <c r="C172" t="str">
        <f t="shared" si="10"/>
        <v>Coluna</v>
      </c>
      <c r="D172">
        <f t="shared" si="13"/>
        <v>50</v>
      </c>
      <c r="E172" t="str">
        <f t="shared" si="11"/>
        <v>Bivolt</v>
      </c>
      <c r="F172" t="str">
        <f t="shared" si="12"/>
        <v>Branco</v>
      </c>
    </row>
    <row r="173" spans="1:6" x14ac:dyDescent="0.3">
      <c r="A173" s="21">
        <v>303003</v>
      </c>
      <c r="B173" s="4" t="s">
        <v>170</v>
      </c>
      <c r="C173" t="str">
        <f t="shared" si="10"/>
        <v>Coluna</v>
      </c>
      <c r="D173">
        <f t="shared" si="13"/>
        <v>50</v>
      </c>
      <c r="E173" t="str">
        <f t="shared" si="11"/>
        <v>Bivolt</v>
      </c>
      <c r="F173" t="str">
        <f t="shared" si="12"/>
        <v>Açai</v>
      </c>
    </row>
    <row r="174" spans="1:6" x14ac:dyDescent="0.3">
      <c r="A174" s="21">
        <v>303004</v>
      </c>
      <c r="B174" s="4" t="s">
        <v>171</v>
      </c>
      <c r="C174" t="str">
        <f t="shared" si="10"/>
        <v>Coluna</v>
      </c>
      <c r="D174">
        <f t="shared" si="13"/>
        <v>50</v>
      </c>
      <c r="E174" t="str">
        <f t="shared" si="11"/>
        <v>Bivolt</v>
      </c>
      <c r="F174" t="str">
        <f t="shared" si="12"/>
        <v>Vermelho</v>
      </c>
    </row>
    <row r="175" spans="1:6" x14ac:dyDescent="0.3">
      <c r="A175" s="21">
        <v>303005</v>
      </c>
      <c r="B175" s="4" t="s">
        <v>172</v>
      </c>
      <c r="C175" t="str">
        <f t="shared" si="10"/>
        <v>Coluna</v>
      </c>
      <c r="D175">
        <f t="shared" si="13"/>
        <v>50</v>
      </c>
      <c r="E175" t="str">
        <f t="shared" si="11"/>
        <v>Bivolt</v>
      </c>
      <c r="F175" t="str">
        <f t="shared" si="12"/>
        <v>Cappuccino</v>
      </c>
    </row>
    <row r="176" spans="1:6" x14ac:dyDescent="0.3">
      <c r="A176" s="21">
        <v>303006</v>
      </c>
      <c r="B176" s="4" t="s">
        <v>173</v>
      </c>
      <c r="C176" t="str">
        <f t="shared" si="10"/>
        <v>Coluna</v>
      </c>
      <c r="D176">
        <f t="shared" si="13"/>
        <v>50</v>
      </c>
      <c r="E176" t="str">
        <f t="shared" si="11"/>
        <v>Bivolt</v>
      </c>
      <c r="F176" t="str">
        <f t="shared" si="12"/>
        <v>Ouro</v>
      </c>
    </row>
    <row r="177" spans="1:6" x14ac:dyDescent="0.3">
      <c r="A177" s="21">
        <v>303007</v>
      </c>
      <c r="B177" s="4" t="s">
        <v>174</v>
      </c>
      <c r="C177" t="str">
        <f t="shared" si="10"/>
        <v>Coluna</v>
      </c>
      <c r="D177">
        <f t="shared" si="13"/>
        <v>50</v>
      </c>
      <c r="E177" t="str">
        <f t="shared" si="11"/>
        <v>Bivolt</v>
      </c>
      <c r="F177" t="str">
        <f t="shared" si="12"/>
        <v>Bronze</v>
      </c>
    </row>
    <row r="178" spans="1:6" x14ac:dyDescent="0.3">
      <c r="A178" s="21">
        <v>303008</v>
      </c>
      <c r="B178" s="4" t="s">
        <v>175</v>
      </c>
      <c r="C178" t="str">
        <f t="shared" si="10"/>
        <v>Coluna</v>
      </c>
      <c r="D178">
        <f t="shared" si="13"/>
        <v>50</v>
      </c>
      <c r="E178" t="str">
        <f t="shared" si="11"/>
        <v>Bivolt</v>
      </c>
      <c r="F178" t="str">
        <f t="shared" si="12"/>
        <v>Prata</v>
      </c>
    </row>
    <row r="179" spans="1:6" x14ac:dyDescent="0.3">
      <c r="A179" s="21">
        <v>303009</v>
      </c>
      <c r="B179" s="4" t="s">
        <v>176</v>
      </c>
      <c r="C179" t="str">
        <f t="shared" si="10"/>
        <v>Coluna</v>
      </c>
      <c r="D179">
        <f t="shared" si="13"/>
        <v>50</v>
      </c>
      <c r="E179" t="str">
        <f t="shared" si="11"/>
        <v>Bivolt</v>
      </c>
      <c r="F179" t="str">
        <f t="shared" si="12"/>
        <v>Titanium</v>
      </c>
    </row>
    <row r="180" spans="1:6" x14ac:dyDescent="0.3">
      <c r="A180" s="21">
        <v>303010</v>
      </c>
      <c r="B180" s="4" t="s">
        <v>177</v>
      </c>
      <c r="C180" t="str">
        <f t="shared" si="10"/>
        <v>Coluna</v>
      </c>
      <c r="D180">
        <f t="shared" si="13"/>
        <v>50</v>
      </c>
      <c r="E180" t="str">
        <f t="shared" si="11"/>
        <v>Bivolt</v>
      </c>
      <c r="F180" t="str">
        <f t="shared" si="12"/>
        <v>Dark</v>
      </c>
    </row>
    <row r="181" spans="1:6" x14ac:dyDescent="0.3">
      <c r="A181" s="21">
        <v>303011</v>
      </c>
      <c r="B181" s="4" t="s">
        <v>178</v>
      </c>
      <c r="C181" t="str">
        <f t="shared" si="10"/>
        <v>Coluna</v>
      </c>
      <c r="D181">
        <f t="shared" si="13"/>
        <v>50</v>
      </c>
      <c r="E181" t="str">
        <f t="shared" si="11"/>
        <v>Bivolt</v>
      </c>
      <c r="F181" t="str">
        <f t="shared" si="12"/>
        <v/>
      </c>
    </row>
    <row r="182" spans="1:6" x14ac:dyDescent="0.3">
      <c r="A182" s="22">
        <v>304001</v>
      </c>
      <c r="B182" s="4" t="s">
        <v>179</v>
      </c>
      <c r="C182" t="str">
        <f t="shared" si="10"/>
        <v>Coluna</v>
      </c>
      <c r="D182">
        <f t="shared" si="13"/>
        <v>60</v>
      </c>
      <c r="E182" t="str">
        <f t="shared" si="11"/>
        <v>Bivolt</v>
      </c>
      <c r="F182" t="str">
        <f t="shared" si="12"/>
        <v>Preto</v>
      </c>
    </row>
    <row r="183" spans="1:6" x14ac:dyDescent="0.3">
      <c r="A183" s="22">
        <v>304002</v>
      </c>
      <c r="B183" s="4" t="s">
        <v>180</v>
      </c>
      <c r="C183" t="str">
        <f t="shared" si="10"/>
        <v>Coluna</v>
      </c>
      <c r="D183">
        <f t="shared" si="13"/>
        <v>60</v>
      </c>
      <c r="E183" t="str">
        <f t="shared" si="11"/>
        <v>Bivolt</v>
      </c>
      <c r="F183" t="str">
        <f t="shared" si="12"/>
        <v>Branco</v>
      </c>
    </row>
    <row r="184" spans="1:6" x14ac:dyDescent="0.3">
      <c r="A184" s="22">
        <v>304003</v>
      </c>
      <c r="B184" s="4" t="s">
        <v>181</v>
      </c>
      <c r="C184" t="str">
        <f t="shared" si="10"/>
        <v>Coluna</v>
      </c>
      <c r="D184">
        <f t="shared" si="13"/>
        <v>60</v>
      </c>
      <c r="E184" t="str">
        <f t="shared" si="11"/>
        <v>Bivolt</v>
      </c>
      <c r="F184" t="str">
        <f t="shared" si="12"/>
        <v>Açai</v>
      </c>
    </row>
    <row r="185" spans="1:6" x14ac:dyDescent="0.3">
      <c r="A185" s="22">
        <v>304004</v>
      </c>
      <c r="B185" s="4" t="s">
        <v>182</v>
      </c>
      <c r="C185" t="str">
        <f t="shared" si="10"/>
        <v>Coluna</v>
      </c>
      <c r="D185">
        <f t="shared" si="13"/>
        <v>60</v>
      </c>
      <c r="E185" t="str">
        <f t="shared" si="11"/>
        <v>Bivolt</v>
      </c>
      <c r="F185" t="str">
        <f t="shared" si="12"/>
        <v>Vermelho</v>
      </c>
    </row>
    <row r="186" spans="1:6" x14ac:dyDescent="0.3">
      <c r="A186" s="22">
        <v>304006</v>
      </c>
      <c r="B186" s="4" t="s">
        <v>183</v>
      </c>
      <c r="C186" t="str">
        <f t="shared" si="10"/>
        <v>Coluna</v>
      </c>
      <c r="D186">
        <f t="shared" si="13"/>
        <v>60</v>
      </c>
      <c r="E186" t="str">
        <f t="shared" si="11"/>
        <v>Bivolt</v>
      </c>
      <c r="F186" t="str">
        <f t="shared" si="12"/>
        <v>Ouro</v>
      </c>
    </row>
    <row r="187" spans="1:6" x14ac:dyDescent="0.3">
      <c r="A187" s="22">
        <v>304007</v>
      </c>
      <c r="B187" s="4" t="s">
        <v>184</v>
      </c>
      <c r="C187" t="str">
        <f t="shared" si="10"/>
        <v>Coluna</v>
      </c>
      <c r="D187">
        <f t="shared" si="13"/>
        <v>60</v>
      </c>
      <c r="E187" t="str">
        <f t="shared" si="11"/>
        <v>Bivolt</v>
      </c>
      <c r="F187" t="str">
        <f t="shared" si="12"/>
        <v>Bronze</v>
      </c>
    </row>
    <row r="188" spans="1:6" x14ac:dyDescent="0.3">
      <c r="A188" s="22">
        <v>304008</v>
      </c>
      <c r="B188" s="4" t="s">
        <v>185</v>
      </c>
      <c r="C188" t="str">
        <f t="shared" si="10"/>
        <v>Coluna</v>
      </c>
      <c r="D188">
        <f t="shared" si="13"/>
        <v>60</v>
      </c>
      <c r="E188" t="str">
        <f t="shared" si="11"/>
        <v>Bivolt</v>
      </c>
      <c r="F188" t="str">
        <f t="shared" si="12"/>
        <v>Prata</v>
      </c>
    </row>
    <row r="189" spans="1:6" x14ac:dyDescent="0.3">
      <c r="A189" s="22">
        <v>304009</v>
      </c>
      <c r="B189" s="4" t="s">
        <v>186</v>
      </c>
      <c r="C189" t="str">
        <f t="shared" si="10"/>
        <v>Coluna</v>
      </c>
      <c r="D189">
        <f t="shared" si="13"/>
        <v>60</v>
      </c>
      <c r="E189" t="str">
        <f t="shared" si="11"/>
        <v>Bivolt</v>
      </c>
      <c r="F189" t="str">
        <f t="shared" si="12"/>
        <v>Titanium</v>
      </c>
    </row>
    <row r="190" spans="1:6" x14ac:dyDescent="0.3">
      <c r="A190" s="22">
        <v>304010</v>
      </c>
      <c r="B190" s="4" t="s">
        <v>187</v>
      </c>
      <c r="C190" t="str">
        <f t="shared" si="10"/>
        <v>Coluna</v>
      </c>
      <c r="D190">
        <f t="shared" si="13"/>
        <v>60</v>
      </c>
      <c r="E190" t="str">
        <f t="shared" si="11"/>
        <v>Bivolt</v>
      </c>
      <c r="F190" t="str">
        <f t="shared" si="12"/>
        <v>Dark</v>
      </c>
    </row>
    <row r="191" spans="1:6" x14ac:dyDescent="0.3">
      <c r="A191" s="17">
        <v>310001</v>
      </c>
      <c r="B191" s="4" t="s">
        <v>188</v>
      </c>
      <c r="C191" t="str">
        <f t="shared" si="10"/>
        <v>Parede</v>
      </c>
      <c r="D191">
        <f t="shared" si="13"/>
        <v>60</v>
      </c>
      <c r="E191" t="str">
        <f t="shared" si="11"/>
        <v>Bivolt</v>
      </c>
      <c r="F191" t="str">
        <f t="shared" si="12"/>
        <v>Preto</v>
      </c>
    </row>
    <row r="192" spans="1:6" x14ac:dyDescent="0.3">
      <c r="A192" s="17">
        <v>311001</v>
      </c>
      <c r="B192" s="4" t="s">
        <v>189</v>
      </c>
      <c r="C192" t="str">
        <f t="shared" si="10"/>
        <v>Coluna</v>
      </c>
      <c r="D192">
        <f t="shared" si="13"/>
        <v>60</v>
      </c>
      <c r="E192" t="str">
        <f t="shared" si="11"/>
        <v>Bivolt</v>
      </c>
      <c r="F192" t="str">
        <f t="shared" si="12"/>
        <v>Preto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Savio Duarte Barbosa</dc:creator>
  <cp:lastModifiedBy>Savio Duarte Barbosa</cp:lastModifiedBy>
  <dcterms:created xsi:type="dcterms:W3CDTF">2026-07-02T19:42:39Z</dcterms:created>
  <dcterms:modified xsi:type="dcterms:W3CDTF">2026-07-02T22:22:31Z</dcterms:modified>
</cp:coreProperties>
</file>