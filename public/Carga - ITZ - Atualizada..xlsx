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dução\Desktop\"/>
    </mc:Choice>
  </mc:AlternateContent>
  <xr:revisionPtr revIDLastSave="0" documentId="13_ncr:1_{E175C2A5-899B-4FB1-931A-4A9794F399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ntiladores" sheetId="1" r:id="rId1"/>
    <sheet name="Semi Acabados" sheetId="2" r:id="rId2"/>
    <sheet name="Peças Plásticas" sheetId="7" r:id="rId3"/>
    <sheet name="Planejamento" sheetId="4" r:id="rId4"/>
    <sheet name="Postos de trabalho " sheetId="5" r:id="rId5"/>
  </sheets>
  <definedNames>
    <definedName name="_xlnm._FilterDatabase" localSheetId="0" hidden="1">Ventiladores!$1:$180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" i="4" l="1"/>
  <c r="C83" i="2"/>
  <c r="C64" i="2"/>
  <c r="C26" i="2"/>
  <c r="C79" i="2"/>
  <c r="C62" i="2"/>
  <c r="C85" i="2"/>
  <c r="C68" i="2"/>
  <c r="C77" i="2"/>
  <c r="C60" i="2"/>
  <c r="C78" i="2"/>
  <c r="C61" i="2"/>
  <c r="C44" i="2"/>
  <c r="C29" i="2"/>
  <c r="C47" i="2"/>
  <c r="C33" i="2"/>
  <c r="C51" i="2"/>
  <c r="C27" i="2"/>
  <c r="C45" i="2"/>
  <c r="C28" i="2"/>
  <c r="C46" i="2"/>
  <c r="C87" i="2"/>
  <c r="C81" i="2"/>
  <c r="C66" i="2"/>
  <c r="C95" i="2"/>
  <c r="C75" i="2"/>
  <c r="C58" i="2"/>
  <c r="C94" i="2"/>
  <c r="C84" i="2"/>
  <c r="C67" i="2"/>
  <c r="C92" i="2"/>
  <c r="C74" i="2"/>
  <c r="C57" i="2"/>
  <c r="C93" i="2"/>
  <c r="C73" i="2"/>
  <c r="C56" i="2"/>
  <c r="C3" i="2"/>
  <c r="C17" i="2"/>
  <c r="C34" i="2"/>
  <c r="C6" i="2"/>
  <c r="C18" i="2"/>
  <c r="C36" i="2"/>
  <c r="C15" i="2"/>
  <c r="C32" i="2"/>
  <c r="C50" i="2"/>
  <c r="C4" i="2"/>
  <c r="C16" i="2"/>
  <c r="C35" i="2"/>
  <c r="C5" i="2"/>
  <c r="C19" i="2"/>
  <c r="C37" i="2"/>
  <c r="C109" i="2"/>
  <c r="C103" i="2"/>
  <c r="C11" i="2"/>
  <c r="C24" i="2"/>
  <c r="C42" i="2"/>
  <c r="C10" i="2"/>
  <c r="C23" i="2"/>
  <c r="C41" i="2"/>
  <c r="C9" i="2"/>
  <c r="C22" i="2"/>
  <c r="C40" i="2"/>
  <c r="C12" i="2"/>
  <c r="C25" i="2"/>
  <c r="C43" i="2"/>
  <c r="C14" i="2"/>
  <c r="C30" i="2"/>
  <c r="C48" i="2"/>
  <c r="C13" i="2"/>
  <c r="C31" i="2"/>
  <c r="C49" i="2"/>
  <c r="C8" i="2"/>
  <c r="C21" i="2"/>
  <c r="C39" i="2"/>
  <c r="C7" i="2"/>
  <c r="C20" i="2"/>
  <c r="C38" i="2"/>
  <c r="C106" i="2"/>
  <c r="C100" i="2"/>
  <c r="C104" i="2"/>
  <c r="C98" i="2"/>
  <c r="C108" i="2"/>
  <c r="C102" i="2"/>
  <c r="C107" i="2"/>
  <c r="C101" i="2"/>
  <c r="C105" i="2"/>
  <c r="C99" i="2"/>
  <c r="C96" i="2"/>
  <c r="C72" i="2"/>
  <c r="C55" i="2"/>
  <c r="C89" i="2"/>
  <c r="C82" i="2"/>
  <c r="C65" i="2"/>
  <c r="C88" i="2"/>
  <c r="C69" i="2"/>
  <c r="C52" i="2"/>
  <c r="C97" i="2"/>
  <c r="C76" i="2"/>
  <c r="C59" i="2"/>
  <c r="C86" i="2"/>
  <c r="C80" i="2"/>
  <c r="C63" i="2"/>
  <c r="C91" i="2"/>
  <c r="C71" i="2"/>
  <c r="C54" i="2"/>
  <c r="C90" i="2"/>
  <c r="C70" i="2"/>
  <c r="C53" i="2"/>
  <c r="C110" i="2" l="1"/>
  <c r="K7" i="2"/>
  <c r="K4" i="2"/>
  <c r="K3" i="2"/>
  <c r="G11" i="2"/>
  <c r="G29" i="2"/>
  <c r="K39" i="2" l="1"/>
  <c r="K38" i="2"/>
  <c r="K12" i="2"/>
  <c r="K11" i="2"/>
  <c r="K10" i="2"/>
  <c r="K9" i="2"/>
  <c r="K8" i="2"/>
  <c r="K6" i="2"/>
  <c r="K5" i="2"/>
  <c r="G6" i="2"/>
  <c r="G41" i="2"/>
  <c r="G40" i="2"/>
  <c r="G39" i="2"/>
  <c r="G35" i="2"/>
  <c r="G34" i="2"/>
  <c r="G30" i="2"/>
  <c r="G25" i="2"/>
  <c r="G24" i="2"/>
  <c r="G22" i="2"/>
  <c r="G21" i="2"/>
  <c r="G20" i="2"/>
  <c r="G16" i="2"/>
  <c r="G15" i="2"/>
  <c r="G14" i="2"/>
  <c r="G12" i="2"/>
  <c r="G9" i="2"/>
  <c r="G7" i="2"/>
  <c r="G4" i="2"/>
  <c r="G3" i="2"/>
  <c r="G10" i="2"/>
  <c r="G5" i="2"/>
  <c r="K45" i="2" l="1"/>
  <c r="K44" i="2"/>
  <c r="G23" i="2"/>
  <c r="G26" i="2" s="1"/>
  <c r="G13" i="2"/>
  <c r="G8" i="2"/>
  <c r="K13" i="2" l="1"/>
  <c r="G42" i="2"/>
  <c r="G31" i="2"/>
  <c r="G17" i="2"/>
  <c r="O39" i="2"/>
  <c r="O38" i="2"/>
  <c r="O37" i="2"/>
  <c r="O36" i="2"/>
  <c r="O35" i="2"/>
  <c r="O34" i="2"/>
  <c r="O33" i="2"/>
  <c r="O29" i="2"/>
  <c r="O28" i="2"/>
  <c r="O27" i="2"/>
  <c r="O26" i="2"/>
  <c r="O25" i="2"/>
  <c r="O24" i="2"/>
  <c r="O23" i="2"/>
  <c r="O19" i="2"/>
  <c r="O18" i="2"/>
  <c r="O17" i="2"/>
  <c r="O16" i="2"/>
  <c r="O15" i="2"/>
  <c r="O14" i="2"/>
  <c r="O13" i="2"/>
  <c r="O9" i="2"/>
  <c r="O8" i="2"/>
  <c r="O7" i="2"/>
  <c r="O6" i="2"/>
  <c r="O5" i="2"/>
  <c r="O4" i="2"/>
  <c r="O3" i="2"/>
  <c r="K43" i="2"/>
  <c r="K46" i="2" s="1"/>
  <c r="G36" i="2"/>
  <c r="K16" i="2" l="1"/>
  <c r="K24" i="2"/>
  <c r="K17" i="2"/>
  <c r="K18" i="2"/>
  <c r="K19" i="2"/>
  <c r="K20" i="2"/>
  <c r="K25" i="2"/>
  <c r="K27" i="2"/>
  <c r="K26" i="2"/>
  <c r="O20" i="2"/>
  <c r="K32" i="2" s="1"/>
  <c r="O40" i="2"/>
  <c r="K34" i="2" s="1"/>
  <c r="O30" i="2"/>
  <c r="K33" i="2" s="1"/>
  <c r="K40" i="2"/>
  <c r="O10" i="2"/>
  <c r="K31" i="2" s="1"/>
  <c r="K28" i="2" l="1"/>
  <c r="K35" i="2"/>
  <c r="K21" i="2"/>
</calcChain>
</file>

<file path=xl/sharedStrings.xml><?xml version="1.0" encoding="utf-8"?>
<sst xmlns="http://schemas.openxmlformats.org/spreadsheetml/2006/main" count="1309" uniqueCount="799">
  <si>
    <t>Voltagens</t>
  </si>
  <si>
    <t>Modelos</t>
  </si>
  <si>
    <t>Código</t>
  </si>
  <si>
    <t>Ventiladores</t>
  </si>
  <si>
    <t>Descrição</t>
  </si>
  <si>
    <t>Quantidades</t>
  </si>
  <si>
    <t>127 V 50cm</t>
  </si>
  <si>
    <t>220 V 50cm</t>
  </si>
  <si>
    <t>127 V 60cm</t>
  </si>
  <si>
    <t>220 V 60cm</t>
  </si>
  <si>
    <t>Bivolt 60cm</t>
  </si>
  <si>
    <t>Kit Fixação</t>
  </si>
  <si>
    <t>Quant</t>
  </si>
  <si>
    <t xml:space="preserve">Quant </t>
  </si>
  <si>
    <t>Suporte Mesa Preto</t>
  </si>
  <si>
    <t>Suporte Mesa Branco</t>
  </si>
  <si>
    <t>Suporte Mesa Vermelho</t>
  </si>
  <si>
    <t>Total</t>
  </si>
  <si>
    <t>Suporte Mesa Prata</t>
  </si>
  <si>
    <t>Suporte Mesa Dourado</t>
  </si>
  <si>
    <t>Suporte Mesa Cappuccino</t>
  </si>
  <si>
    <t>Suporte Parede Preto</t>
  </si>
  <si>
    <t>Suporte Parede Branco</t>
  </si>
  <si>
    <t xml:space="preserve"> </t>
  </si>
  <si>
    <t>Suporte Parede Açaí</t>
  </si>
  <si>
    <t>Suporte Parede Prata</t>
  </si>
  <si>
    <t>Motores P/ Rota</t>
  </si>
  <si>
    <t>Kit Componentes</t>
  </si>
  <si>
    <t>Abraçadeira k12</t>
  </si>
  <si>
    <t>220 V - 50 cm</t>
  </si>
  <si>
    <t>1°</t>
  </si>
  <si>
    <t>CX</t>
  </si>
  <si>
    <t>220 V - 60 cm</t>
  </si>
  <si>
    <t>2°</t>
  </si>
  <si>
    <t xml:space="preserve">MESA 50 CM 127 V PRETO </t>
  </si>
  <si>
    <t xml:space="preserve">MESA 50 CM 127 V BRANCO </t>
  </si>
  <si>
    <t xml:space="preserve">MESA 50 CM 127 V AÇAI </t>
  </si>
  <si>
    <t xml:space="preserve">MESA 50 CM 127 V VERMELHO </t>
  </si>
  <si>
    <t xml:space="preserve">MESA 50 CM 127 V CAPPUCCINO </t>
  </si>
  <si>
    <t xml:space="preserve">MESA 50 CM 127 V OURO </t>
  </si>
  <si>
    <t xml:space="preserve">MESA 50 CM 127 V BRONZE </t>
  </si>
  <si>
    <t xml:space="preserve">MESA 50 CM 127 V PRATA </t>
  </si>
  <si>
    <t xml:space="preserve">MESA 50 CM 127 V TITANIUM </t>
  </si>
  <si>
    <t xml:space="preserve">PAREDE 50 CM 127 V PRETO </t>
  </si>
  <si>
    <t xml:space="preserve">PAREDE 50 CM 127 V BRANCO </t>
  </si>
  <si>
    <t>PAREDE 50 CM 127 V AÇAI</t>
  </si>
  <si>
    <t xml:space="preserve">PAREDE 50 CM 127 V BRONZE </t>
  </si>
  <si>
    <t xml:space="preserve">PAREDE 50 CM 127 V PRATA </t>
  </si>
  <si>
    <t xml:space="preserve">PAREDE 50 CM 127 V TITANIUM </t>
  </si>
  <si>
    <t>COLUNA 50 CM 127 V PRETO</t>
  </si>
  <si>
    <t xml:space="preserve">COLUNA 50 CM 127 V BRANCO </t>
  </si>
  <si>
    <t xml:space="preserve">COLUNA 50 CM 127 V AÇAI </t>
  </si>
  <si>
    <t xml:space="preserve">COLUNA 50 CM 127 V VERMELHO </t>
  </si>
  <si>
    <t xml:space="preserve">COLUNA 50 CM 127 V CAPPUCCINO </t>
  </si>
  <si>
    <t xml:space="preserve">COLUNA 50 CM 127 V OURO </t>
  </si>
  <si>
    <t xml:space="preserve">COLUNA 50 CM 127 V BRONZE </t>
  </si>
  <si>
    <t xml:space="preserve">COLUNA 50 CM 127 V PRATA </t>
  </si>
  <si>
    <t xml:space="preserve">COLUNA 50 CM 127 V TITANIUM </t>
  </si>
  <si>
    <t xml:space="preserve">PRACTICE 50 CM 127 V PRETO </t>
  </si>
  <si>
    <t xml:space="preserve">PRACTICE 50 CM 127 V BRANCO </t>
  </si>
  <si>
    <t xml:space="preserve">PRACTICE 50 CM 127 V ACAI </t>
  </si>
  <si>
    <t xml:space="preserve">PRACTICE 50 CM 127 V BRONZE </t>
  </si>
  <si>
    <t xml:space="preserve">PRACTICE 50 CM 127 V PRATA </t>
  </si>
  <si>
    <t>PRACTICE 50 CM 127 V TITANIUM</t>
  </si>
  <si>
    <t xml:space="preserve">VENTILADOR DOMINA OSCILANTE MESA 50 CM 127 V PRETO </t>
  </si>
  <si>
    <t xml:space="preserve">VENTILADOR DOMINA OSCILANTE MESA 50 CM 127 V BRANCO </t>
  </si>
  <si>
    <t xml:space="preserve">VENTILADOR DOMINA OSCILANTE MESA 50 CM 127 V AÇAI </t>
  </si>
  <si>
    <t xml:space="preserve">VENTILADOR DOMINA OSCILANTE MESA 50 CM 127 V VERMELHO </t>
  </si>
  <si>
    <t xml:space="preserve">VENTILADOR DOMINA OSCILANTE MESA 50 CM 127 V CAPPUCCINO </t>
  </si>
  <si>
    <t xml:space="preserve">VENTILADOR DOMINA OSCILANTE MESA 50 CM 127 V OURO </t>
  </si>
  <si>
    <t xml:space="preserve">VENTILADOR DOMINA OSCILANTE MESA 50 CM 127 V BRONZE </t>
  </si>
  <si>
    <t xml:space="preserve">VENTILADOR DOMINA OSCILANTE MESA 50 CM 127 V PRATA </t>
  </si>
  <si>
    <t xml:space="preserve">VENTILADOR DOMINA OSCILANTE MESA 50 CM 127 V TITANIUM </t>
  </si>
  <si>
    <t xml:space="preserve">VENTILADOR DOMINA OSCILANTE PAREDE 50 CM 127 V PRETO </t>
  </si>
  <si>
    <t xml:space="preserve">VENTILADOR DOMINA OSCILANTE PAREDE 50 CM 127 V BRANCO </t>
  </si>
  <si>
    <t xml:space="preserve">VENTILADOR DOMINA OSCILANTE PAREDE 50 CM 127 V AÇAI </t>
  </si>
  <si>
    <t xml:space="preserve">VENTILADOR DOMINA OSCILANTE PAREDE 50 CM 127 V BRONZE </t>
  </si>
  <si>
    <t xml:space="preserve">VENTILADOR DOMINA OSCILANTE PAREDE 50 CM 127 V PRATA </t>
  </si>
  <si>
    <t xml:space="preserve">VENTILADOR DOMINA OSCILANTE PAREDE 50 CM 127 V TITANIUM </t>
  </si>
  <si>
    <t xml:space="preserve">VENTILADOR DOMINA OSCILANTE COLUNA 50 CM 127 V PRETO </t>
  </si>
  <si>
    <t xml:space="preserve">VENTILADOR DOMINA OSCILANTE COLUNA 50 CM 127 V BRANCO </t>
  </si>
  <si>
    <t xml:space="preserve">VENTILADOR DOMINA OSCILANTE COLUNA 50 CM 127 V AÇAI </t>
  </si>
  <si>
    <t xml:space="preserve">VENTILADOR DOMINA OSCILANTE COLUNA 50 CM 127 V VERMELHO </t>
  </si>
  <si>
    <t xml:space="preserve">VENTILADOR DOMINA OSCILANTE COLUNA 50 CM 127 V CAPPUCCINO </t>
  </si>
  <si>
    <t xml:space="preserve">VENTILADOR DOMINA OSCILANTE COLUNA 50 CM 127 V OURO </t>
  </si>
  <si>
    <t xml:space="preserve">VENTILADOR DOMINA OSCILANTE COLUNA 50 CM 127 V BRONZE </t>
  </si>
  <si>
    <t xml:space="preserve">VENTILADOR DOMINA OSCILANTE COLUNA 50 CM 127 V PRATA </t>
  </si>
  <si>
    <t xml:space="preserve">VENTILADOR DOMINA OSCILANTE COLUNA 50 CM 127 V TITANIUM </t>
  </si>
  <si>
    <t xml:space="preserve">VENTILADOR DOMINA OSCILANTE PRACTICE 50 CM 127 V PRETO </t>
  </si>
  <si>
    <t xml:space="preserve">VENTILADOR DOMINA OSCILANTE PRACTICE 50 CM 127 V BRANCO </t>
  </si>
  <si>
    <t>VENTILADOR DOMINA OSCILANTE PRACTICE 50 CM 127 V ACAI</t>
  </si>
  <si>
    <t xml:space="preserve">VENTILADOR DOMINA OSCILANTE PRACTICE 50 CM 127 V BRONZE  </t>
  </si>
  <si>
    <t xml:space="preserve">VENTILADOR DOMINA OSCILANTE PRACTICE 50 CM 127 V PRATA </t>
  </si>
  <si>
    <t xml:space="preserve">VENTILADOR DOMINA OSCILANTE PRACTICE 50 CM 127 V TITANIUM </t>
  </si>
  <si>
    <t xml:space="preserve">MESA 50 CM 220 V PRETO </t>
  </si>
  <si>
    <t xml:space="preserve">MESA 50 CM 220 V BRANCO </t>
  </si>
  <si>
    <t xml:space="preserve">MESA 50 CM 220 V AÇAI </t>
  </si>
  <si>
    <t xml:space="preserve">MESA 50 CM 220 V VERMELHO </t>
  </si>
  <si>
    <t>MESA 50 CM 220 V CAPPUCCINO</t>
  </si>
  <si>
    <t xml:space="preserve">MESA 50 CM 220 V OURO </t>
  </si>
  <si>
    <t xml:space="preserve">MESA 50 CM 220 V BRONZE </t>
  </si>
  <si>
    <t xml:space="preserve">MESA 50 CM 220 V PRATA </t>
  </si>
  <si>
    <t xml:space="preserve">MESA 50 CM 220 V TITANIUM </t>
  </si>
  <si>
    <t xml:space="preserve">PAREDE 50 CM 220 V PRETO </t>
  </si>
  <si>
    <t xml:space="preserve">PAREDE 50 CM 220 V BRANCO </t>
  </si>
  <si>
    <t xml:space="preserve">PAREDE 50 CM 220 V AÇAI </t>
  </si>
  <si>
    <t xml:space="preserve">PAREDE 50 CM 220 V BRONZE </t>
  </si>
  <si>
    <t xml:space="preserve">PAREDE 50 CM 220 V PRATA </t>
  </si>
  <si>
    <t xml:space="preserve">PAREDE 50 CM 220 V TITANIUM </t>
  </si>
  <si>
    <t xml:space="preserve">COLUNA 50 CM 220 V PRETO </t>
  </si>
  <si>
    <t xml:space="preserve">COLUNA 50 CM 220 V BRANCO </t>
  </si>
  <si>
    <t xml:space="preserve">COLUNA 50 CM 220 V AÇAI </t>
  </si>
  <si>
    <t xml:space="preserve">COLUNA 50 CM 220 V VERMELHO </t>
  </si>
  <si>
    <t xml:space="preserve">COLUNA 50 CM 220 V CAPPUCCINO </t>
  </si>
  <si>
    <t>COLUNA 50 CM 220 V OURO</t>
  </si>
  <si>
    <t>COLUNA 50 CM 220 V BRONZE</t>
  </si>
  <si>
    <t>COLUNA 50 CM 220 V PRATA</t>
  </si>
  <si>
    <t xml:space="preserve">COLUNA 50 CM 220 V TITANIUM </t>
  </si>
  <si>
    <t xml:space="preserve">PRACTICE 50 CM 220 V PRETO </t>
  </si>
  <si>
    <t xml:space="preserve">PRACTICE 50 CM 220 V BRANCO </t>
  </si>
  <si>
    <t xml:space="preserve">PRACTICE 50 CM 220 V ACAI </t>
  </si>
  <si>
    <t xml:space="preserve">PRACTICE 50 CM 220 V BRONZE </t>
  </si>
  <si>
    <t xml:space="preserve">PRACTICE 50 CM 220 V PRATA </t>
  </si>
  <si>
    <t xml:space="preserve">PRACTICE 50 CM 220 V TITANIUM </t>
  </si>
  <si>
    <t xml:space="preserve">VENTILADOR DOMINA OSCILANTE MESA 50 CM 220 V PRETO </t>
  </si>
  <si>
    <t xml:space="preserve">VENTILADOR DOMINA OSCILANTE MESA 50 CM 220 V BRANCO </t>
  </si>
  <si>
    <t xml:space="preserve">VENTILADOR DOMINA OSCILANTE MESA 50 CM 220 V AÇAI </t>
  </si>
  <si>
    <t xml:space="preserve">VENTILADOR DOMINA OSCILANTE MESA 50 CM 220 V VERMELHO </t>
  </si>
  <si>
    <t xml:space="preserve">VENTILADOR DOMINA OSCILANTE MESA 50 CM 220 V CAPPUCCINO </t>
  </si>
  <si>
    <t xml:space="preserve">VENTILADOR DOMINA OSCILANTE MESA 50 CM 220 V OURO </t>
  </si>
  <si>
    <t xml:space="preserve">VENTILADOR DOMINA OSCILANTE MESA 50 CM 220 V BRONZE </t>
  </si>
  <si>
    <t xml:space="preserve">VENTILADOR DOMINA OSCILANTE MESA 50 CM 220 V PRATA </t>
  </si>
  <si>
    <t xml:space="preserve">VENTILADOR DOMINA OSCILANTE MESA 50 CM 220 V TITANIUM </t>
  </si>
  <si>
    <t xml:space="preserve">VENTILADOR DOMINA OSCILANTE PAREDE 50 CM 220 V PRETO </t>
  </si>
  <si>
    <t xml:space="preserve">VENTILADOR DOMINA OSCILANTE PAREDE 50 CM 220 V BRANCO </t>
  </si>
  <si>
    <t xml:space="preserve">VENTILADOR DOMINA OSCILANTE PAREDE 50 CM 220 V AÇAI </t>
  </si>
  <si>
    <t xml:space="preserve">VENTILADOR DOMINA OSCILANTE PAREDE 50 CM 220 V BRONZE </t>
  </si>
  <si>
    <t xml:space="preserve">VENTILADOR DOMINA OSCILANTE PAREDE 50 CM 220 V PRATA </t>
  </si>
  <si>
    <t xml:space="preserve">VENTILADOR DOMINA OSCILANTE PAREDE 50 CM 220 V TITANIUM </t>
  </si>
  <si>
    <t xml:space="preserve">VENTILADOR DOMINA OSCILANTE COLUNA 50 CM 220 V PRETO </t>
  </si>
  <si>
    <t xml:space="preserve">VENTILADOR DOMINA OSCILANTE COLUNA 50 CM 220 V BRANCO </t>
  </si>
  <si>
    <t>VENTILADOR DOMINA OSCILANTE COLUNA 50 CM 220 V AÇAI</t>
  </si>
  <si>
    <t xml:space="preserve">VENTILADOR DOMINA OSCILANTE COLUNA 50 CM 220 V VERMELHO </t>
  </si>
  <si>
    <t xml:space="preserve">VENTILADOR DOMINA OSCILANTE COLUNA 50 CM 220 V CAPPUCCINO </t>
  </si>
  <si>
    <t xml:space="preserve">VENTILADOR DOMINA OSCILANTE COLUNA 50 CM 220 V OURO </t>
  </si>
  <si>
    <t xml:space="preserve">VENTILADOR DOMINA OSCILANTE COLUNA 50 CM 220 V BRONZE </t>
  </si>
  <si>
    <t xml:space="preserve">VENTILADOR DOMINA OSCILANTE COLUNA 50 CM 220 V PRATA </t>
  </si>
  <si>
    <t xml:space="preserve">VENTILADOR DOMINA OSCILANTE COLUNA 50 CM 220 V TITANIUM </t>
  </si>
  <si>
    <t xml:space="preserve">VENTILADOR DOMINA OSCILANTE PRACTICE 50 CM 220 V PRETO </t>
  </si>
  <si>
    <t>VENTILADOR DOMINA OSCILANTE PRACTICE 50 CM 220 V BRANCO</t>
  </si>
  <si>
    <t xml:space="preserve">VENTILADOR DOMINA OSCILANTE PRACTICE 50 CM 220 V ACAI </t>
  </si>
  <si>
    <t xml:space="preserve">VENTILADOR DOMINA OSCILANTE PRACTICE 50 CM 220 V BRONZE </t>
  </si>
  <si>
    <t xml:space="preserve">VENTILADOR DOMINA OSCILANTE PRACTICE 50 CM 220 V PRATA </t>
  </si>
  <si>
    <t xml:space="preserve">VENTILADOR DOMINA OSCILANTE PRACTICE 50 CM 220 V TITANIUM </t>
  </si>
  <si>
    <t xml:space="preserve">PAREDE 50 CM BIVOLT TITANIUM </t>
  </si>
  <si>
    <t xml:space="preserve">PAREDE 50 CM BIVOLT BRANCO </t>
  </si>
  <si>
    <t xml:space="preserve">COLUNA 50 CM BIVOLT PRETO </t>
  </si>
  <si>
    <t xml:space="preserve">COLUNA 50 CM BIVOLT BRANCO </t>
  </si>
  <si>
    <t>COLUNA 50 CM BIVOLT AÇAI</t>
  </si>
  <si>
    <t xml:space="preserve">COLUNA 50 CM BIVOLT VERMELHO </t>
  </si>
  <si>
    <t xml:space="preserve">COLUNA 50 CM BIVOLT CAPPUCCINO </t>
  </si>
  <si>
    <t xml:space="preserve">COLUNA 50 CM BIVOLT OURO </t>
  </si>
  <si>
    <t xml:space="preserve">COLUNA 50 CM BIVOLT BRONZE </t>
  </si>
  <si>
    <t xml:space="preserve">COLUNA 50 CM BIVOLT PRATA </t>
  </si>
  <si>
    <t xml:space="preserve">COLUNA 50 CM BIVOLT TITANIUM </t>
  </si>
  <si>
    <t xml:space="preserve">VENTILADOR DOMINA OSCILANTE MESA 50 CM BIVOLT PRETO </t>
  </si>
  <si>
    <t>VENTILADOR DOMINA OSCILANTE MESA 50 CM BIVOLT BRANCO</t>
  </si>
  <si>
    <t>VENTILADOR DOMINA OSCILANTE MESA 50 CM BIVOLT AÇAI</t>
  </si>
  <si>
    <t>VENTILADOR DOMINA OSCILANTE MESA 50 CM BIVOLT VERMELHO</t>
  </si>
  <si>
    <t>VENTILADOR DOMINA OSCILANTE MESA 50 CM BIVOLT CAPPUCCINO</t>
  </si>
  <si>
    <t>VENTILADOR DOMINA OSCILANTE MESA 50 CM BIVOLT OURO</t>
  </si>
  <si>
    <t>VENTILADOR DOMINA OSCILANTE MESA 50 CM BIVOLT BRONZE</t>
  </si>
  <si>
    <t>VENTILADOR DOMINA OSCILANTE MESA 50 CM BIVOLT PRATA</t>
  </si>
  <si>
    <t>VENTILADOR DOMINA OSCILANTE MESA 50 CM BIVOLT TITANIUM</t>
  </si>
  <si>
    <t xml:space="preserve">VENTILADOR DOMINA OSCILANTE PAREDE 50 CM BIVOLT PRETO </t>
  </si>
  <si>
    <t>VENTILADOR DOMINA OSCILANTE PAREDE 50 CM BIVOLT BRANCO</t>
  </si>
  <si>
    <t>VENTILADOR DOMINA OSCILANTE PAREDE 50 CM BIVOLT AÇAI</t>
  </si>
  <si>
    <t>VENTILADOR DOMINA OSCILANTE PAREDE 50 CM BIVOLT BRONZE</t>
  </si>
  <si>
    <t>VENTILADOR DOMINA OSCILANTE PAREDE 50 CM BIVOLT PRATA</t>
  </si>
  <si>
    <t>VENTILADOR DOMINA OSCILANTE PAREDE 50 CM BIVOLT TITANIUM</t>
  </si>
  <si>
    <t xml:space="preserve">VENTILADOR DOMINA OSCILANTE COLUNA 50 CM BIVOLT PRETO </t>
  </si>
  <si>
    <t>VENTILADOR DOMINA OSCILANTE COLUNA 50 CM BIVOLT BRANCO</t>
  </si>
  <si>
    <t>VENTILADOR DOMINA OSCILANTE COLUNA 50 CM BIVOLT AÇAI</t>
  </si>
  <si>
    <t>VENTILADOR DOMINA OSCILANTE COLUNA 50 CM BIVOLT VERMELHO</t>
  </si>
  <si>
    <t>VENTILADOR DOMINA OSCILANTE COLUNA 50 CM BIVOLT CAPPUCCINO</t>
  </si>
  <si>
    <t>VENTILADOR DOMINA OSCILANTE COLUNA 50 CM BIVOLT OURO</t>
  </si>
  <si>
    <t>VENTILADOR DOMINA OSCILANTE COLUNA 50 CM BIVOLT BRONZE</t>
  </si>
  <si>
    <t>VENTILADOR DOMINA OSCILANTE COLUNA 50 CM BIVOLT PRATA</t>
  </si>
  <si>
    <t>VENTILADOR DOMINA OSCILANTE COLUNA 50 CM BIVOLT TITANIUM</t>
  </si>
  <si>
    <t>Bivolt 50cm</t>
  </si>
  <si>
    <t xml:space="preserve">PAREDE 60 CM 127 V PRETO </t>
  </si>
  <si>
    <t>PAREDE 60 CM 127 V BRANCO</t>
  </si>
  <si>
    <t>PAREDE 60 CM 127 V AÇAI</t>
  </si>
  <si>
    <t xml:space="preserve">PAREDE 60 CM 127 V BRONZE </t>
  </si>
  <si>
    <t xml:space="preserve">PAREDE 60 CM 127 V PRATA </t>
  </si>
  <si>
    <t>PAREDE 60 CM 127 V TITANIUM</t>
  </si>
  <si>
    <t>COLUNA 60 CM 127 V PRETO</t>
  </si>
  <si>
    <t>COLUNA 60 CM 127 V BRANCO</t>
  </si>
  <si>
    <t xml:space="preserve">COLUNA 60 CM 127 V AÇAI </t>
  </si>
  <si>
    <t xml:space="preserve">COLUNA 60 CM 127 V VERMELHO </t>
  </si>
  <si>
    <t xml:space="preserve">COLUNA 60 CM 127 V OURO </t>
  </si>
  <si>
    <t xml:space="preserve">COLUNA 60 CM 127 V BRONZE </t>
  </si>
  <si>
    <t xml:space="preserve">COLUNA 60 CM 127 V PRATA </t>
  </si>
  <si>
    <t xml:space="preserve">COLUNA 60 CM 127 V TITANIUM </t>
  </si>
  <si>
    <t>PRACTICE 60 CM 127 V PRETO</t>
  </si>
  <si>
    <t xml:space="preserve">PRACTICE 60 CM 127 V BRANCO </t>
  </si>
  <si>
    <t xml:space="preserve">PRACTICE 60 CM 127 V ACAI </t>
  </si>
  <si>
    <t xml:space="preserve">PRACTICE 60 CM 127 V BRONZE </t>
  </si>
  <si>
    <t>PRACTICE 60 CM 127 V PRATA</t>
  </si>
  <si>
    <t xml:space="preserve">PRACTICE 60 CM 127 V TITANIUM </t>
  </si>
  <si>
    <t>VENTILADOR DOMINA ECO OSCILANTE PAREDE 60 CM 127 V PRETO</t>
  </si>
  <si>
    <t>VENTILADOR DOMINA ECO OSCILANTE PAREDE 60 CM 127 V BRANCO</t>
  </si>
  <si>
    <t xml:space="preserve">VENTILADOR DOMINA ECO OSCILANTE PAREDE 60 CM 127 V AÇAI </t>
  </si>
  <si>
    <t xml:space="preserve">VENTILADOR DOMINA ECO OSCILANTE PAREDE 60 CM 127 V BRONZE </t>
  </si>
  <si>
    <t xml:space="preserve">VENTILADOR DOMINA ECO OSCILANTE PAREDE 60 CM 127 V PRATA </t>
  </si>
  <si>
    <t xml:space="preserve">VENTILADOR DOMINA ECO OSCILANTE PAREDE 60 CM 127 V TITANIUM </t>
  </si>
  <si>
    <t>VENTILADOR DOMINA ECO OSCILANTE COLUNA 60 CM 127 V PRETO</t>
  </si>
  <si>
    <t xml:space="preserve">VENTILADOR DOMINA ECO OSCILANTE COLUNA 60 CM 127 V BRANCO </t>
  </si>
  <si>
    <t xml:space="preserve">VENTILADOR DOMINA ECO OSCILANTE COLUNA 60 CM 127 V AÇAI </t>
  </si>
  <si>
    <t xml:space="preserve">VENTILADOR DOMINA ECO OSCILANTE COLUNA 60 CM 127 V VERMELHO </t>
  </si>
  <si>
    <t xml:space="preserve">VENTILADOR DOMINA ECO OSCILANTE COLUNA 60 CM 127 V OURO </t>
  </si>
  <si>
    <t xml:space="preserve">VENTILADOR DOMINA ECO OSCILANTE COLUNA 60 CM 127 V BRONZE </t>
  </si>
  <si>
    <t xml:space="preserve">VENTILADOR DOMINA ECO OSCILANTE COLUNA 60 CM 127 V PRATA </t>
  </si>
  <si>
    <t xml:space="preserve">VENTILADOR DOMINA ECO OSCILANTE COLUNA 60 CM 127 V TITANIUM </t>
  </si>
  <si>
    <t xml:space="preserve">VENTILADOR DOMINA ECO OSCILANTE PRACTICE 60 CM 127 V PRETO </t>
  </si>
  <si>
    <t xml:space="preserve">VENTILADOR DOMINA ECO OSCILANTE PRACTICE 60 CM 127 V BRANCO </t>
  </si>
  <si>
    <t xml:space="preserve">VENTILADOR DOMINA ECO OSCILANTE PRACTICE 60 CM 127 V ACAI </t>
  </si>
  <si>
    <t xml:space="preserve">VENTILADOR DOMINA ECO OSCILANTE PRACTICE 60 CM 127 V BRONZE </t>
  </si>
  <si>
    <t xml:space="preserve">VENTILADOR DOMINA ECO OSCILANTE PRACTICE 60 CM 127 V PRATA </t>
  </si>
  <si>
    <t xml:space="preserve">VENTILADOR DOMINA ECO OSCILANTE PRACTICE 60 CM 127 V TITANIUM </t>
  </si>
  <si>
    <t xml:space="preserve">PAREDE 60 CM 220 V PRETO </t>
  </si>
  <si>
    <t>PAREDE 60 CM 220 V BRANCO</t>
  </si>
  <si>
    <t>PAREDE 60 CM 220 V AÇAI</t>
  </si>
  <si>
    <t xml:space="preserve">PAREDE 60 CM 220 V BRONZE </t>
  </si>
  <si>
    <t xml:space="preserve">PAREDE 60 CM 220 V PRATA </t>
  </si>
  <si>
    <t>PAREDE 60 CM 220 V TITANIUM</t>
  </si>
  <si>
    <t>COLUNA 60 CM 220 V PRETO</t>
  </si>
  <si>
    <t>COLUNA 60 CM 220 V BRANCO</t>
  </si>
  <si>
    <t xml:space="preserve">COLUNA 60 CM 220 V AÇAI </t>
  </si>
  <si>
    <t xml:space="preserve">COLUNA 60 CM 220 V VERMELHO </t>
  </si>
  <si>
    <t xml:space="preserve">COLUNA 60 CM 220 V OURO </t>
  </si>
  <si>
    <t xml:space="preserve">COLUNA 60 CM 220 V BRONZE </t>
  </si>
  <si>
    <t xml:space="preserve">COLUNA 60 CM 220 V PRATA </t>
  </si>
  <si>
    <t xml:space="preserve">COLUNA 60 CM 220 V TITANIUM </t>
  </si>
  <si>
    <t>PRACTICE 60 CM 220 V PRETO</t>
  </si>
  <si>
    <t xml:space="preserve">PRACTICE 60 CM 220 V BRANCO </t>
  </si>
  <si>
    <t xml:space="preserve">PRACTICE 60 CM 220 V ACAI </t>
  </si>
  <si>
    <t xml:space="preserve">PRACTICE 60 CM 220 V BRONZE </t>
  </si>
  <si>
    <t>PRACTICE 60 CM 220 V PRATA</t>
  </si>
  <si>
    <t xml:space="preserve">PRACTICE 60 CM 220 V TITANIUM </t>
  </si>
  <si>
    <t>VENTILADOR DOMINA ECO OSCILANTE PAREDE 60 CM 220 V PRETO</t>
  </si>
  <si>
    <t>VENTILADOR DOMINA ECO OSCILANTE PAREDE 60 CM 220 V BRANCO</t>
  </si>
  <si>
    <t xml:space="preserve">VENTILADOR DOMINA ECO OSCILANTE PAREDE 60 CM 220 V AÇAI </t>
  </si>
  <si>
    <t xml:space="preserve">VENTILADOR DOMINA ECO OSCILANTE PAREDE 60 CM 220 V BRONZE </t>
  </si>
  <si>
    <t xml:space="preserve">VENTILADOR DOMINA ECO OSCILANTE PAREDE 60 CM 220 V PRATA </t>
  </si>
  <si>
    <t xml:space="preserve">VENTILADOR DOMINA ECO OSCILANTE PAREDE 60 CM 220 V TITANIUM </t>
  </si>
  <si>
    <t>VENTILADOR DOMINA ECO OSCILANTE COLUNA 60 CM 220 V PRETO</t>
  </si>
  <si>
    <t xml:space="preserve">VENTILADOR DOMINA ECO OSCILANTE COLUNA 60 CM 220 V BRANCO </t>
  </si>
  <si>
    <t xml:space="preserve">VENTILADOR DOMINA ECO OSCILANTE COLUNA 60 CM 220 V AÇAI </t>
  </si>
  <si>
    <t xml:space="preserve">VENTILADOR DOMINA ECO OSCILANTE COLUNA 60 CM 220 V VERMELHO </t>
  </si>
  <si>
    <t xml:space="preserve">VENTILADOR DOMINA ECO OSCILANTE COLUNA 60 CM 220 V OURO </t>
  </si>
  <si>
    <t xml:space="preserve">VENTILADOR DOMINA ECO OSCILANTE COLUNA 60 CM 220 V BRONZE </t>
  </si>
  <si>
    <t xml:space="preserve">VENTILADOR DOMINA ECO OSCILANTE COLUNA 60 CM 220 V PRATA </t>
  </si>
  <si>
    <t xml:space="preserve">VENTILADOR DOMINA ECO OSCILANTE COLUNA 60 CM 220 V TITANIUM </t>
  </si>
  <si>
    <t xml:space="preserve">VENTILADOR DOMINA ECO OSCILANTE PRACTICE 60 CM 220 V PRETO </t>
  </si>
  <si>
    <t xml:space="preserve">VENTILADOR DOMINA ECO OSCILANTE PRACTICE 60 CM 220 V BRANCO </t>
  </si>
  <si>
    <t xml:space="preserve">VENTILADOR DOMINA ECO OSCILANTE PRACTICE 60 CM 220 V ACAI </t>
  </si>
  <si>
    <t xml:space="preserve">VENTILADOR DOMINA ECO OSCILANTE PRACTICE 60 CM 220 V BRONZE </t>
  </si>
  <si>
    <t xml:space="preserve">VENTILADOR DOMINA ECO OSCILANTE PRACTICE 60 CM 220 V PRATA </t>
  </si>
  <si>
    <t xml:space="preserve">VENTILADOR DOMINA ECO OSCILANTE PRACTICE 60 CM 220 V TITANIUM </t>
  </si>
  <si>
    <t xml:space="preserve">PAREDE 60 CM BIVOLT PRETO </t>
  </si>
  <si>
    <t>PAREDE 60 CM BIVOLT BRANCO</t>
  </si>
  <si>
    <t>PAREDE 60 CM BIVOLT AÇAI</t>
  </si>
  <si>
    <t xml:space="preserve">PAREDE 60 CM BIVOLT BRONZE </t>
  </si>
  <si>
    <t xml:space="preserve">PAREDE 60 CM BIVOLT PRATA </t>
  </si>
  <si>
    <t>PAREDE 60 CM BIVOLT TITANIUM</t>
  </si>
  <si>
    <t>COLUNA 60 CM BIVOLT PRETO</t>
  </si>
  <si>
    <t>COLUNA 60 CM BIVOLT BRANCO</t>
  </si>
  <si>
    <t xml:space="preserve">COLUNA 60 CM BIVOLT AÇAI </t>
  </si>
  <si>
    <t xml:space="preserve">COLUNA 60 CM BIVOLT VERMELHO </t>
  </si>
  <si>
    <t xml:space="preserve">COLUNA 60 CM BIVOLT OURO </t>
  </si>
  <si>
    <t xml:space="preserve">COLUNA 60 CM BIVOLT BRONZE </t>
  </si>
  <si>
    <t xml:space="preserve">COLUNA 60 CM BIVOLT PRATA </t>
  </si>
  <si>
    <t xml:space="preserve">COLUNA 60 CM BIVOLT TITANIUM </t>
  </si>
  <si>
    <t>VENTILADOR DOMINA ECO OSCILANTE PAREDE 60 CM BIVOLT PRETO</t>
  </si>
  <si>
    <t>VENTILADOR DOMINA ECO OSCILANTE PAREDE 60 CM BIVOLT BRANCO</t>
  </si>
  <si>
    <t xml:space="preserve">VENTILADOR DOMINA ECO OSCILANTE PAREDE 60 CM BIVOLT AÇAI </t>
  </si>
  <si>
    <t xml:space="preserve">VENTILADOR DOMINA ECO OSCILANTE PAREDE 60 CM BIVOLT BRONZE </t>
  </si>
  <si>
    <t xml:space="preserve">VENTILADOR DOMINA ECO OSCILANTE PAREDE 60 CM BIVOLT PRATA </t>
  </si>
  <si>
    <t xml:space="preserve">VENTILADOR DOMINA ECO OSCILANTE PAREDE 60 CM BIVOLT TITANIUM </t>
  </si>
  <si>
    <t>VENTILADOR DOMINA ECO OSCILANTE COLUNA 60 CM BIVOLT PRETO</t>
  </si>
  <si>
    <t xml:space="preserve">VENTILADOR DOMINA ECO OSCILANTE COLUNA 60 CM BIVOLT BRANCO </t>
  </si>
  <si>
    <t xml:space="preserve">VENTILADOR DOMINA ECO OSCILANTE COLUNA 60 CM BIVOLT AÇAI </t>
  </si>
  <si>
    <t xml:space="preserve">VENTILADOR DOMINA ECO OSCILANTE COLUNA 60 CM BIVOLT VERMELHO </t>
  </si>
  <si>
    <t xml:space="preserve">VENTILADOR DOMINA ECO OSCILANTE COLUNA 60 CM BIVOLT OURO </t>
  </si>
  <si>
    <t xml:space="preserve">VENTILADOR DOMINA ECO OSCILANTE COLUNA 60 CM BIVOLT BRONZE </t>
  </si>
  <si>
    <t xml:space="preserve">VENTILADOR DOMINA ECO OSCILANTE COLUNA 60 CM BIVOLT PRATA </t>
  </si>
  <si>
    <t xml:space="preserve">VENTILADOR DOMINA ECO OSCILANTE COLUNA 60 CM BIVOLT TITANIUM </t>
  </si>
  <si>
    <t>Dimmer Practice 127 V - 50 cm</t>
  </si>
  <si>
    <t>Dimmer Practice 220 V - 50 cm</t>
  </si>
  <si>
    <t>Dimmer Practice 127 V - 60 cm</t>
  </si>
  <si>
    <t>Dimmer Practice 220 V - 60 cm</t>
  </si>
  <si>
    <t>Suporte Practice Preto</t>
  </si>
  <si>
    <t>Suporte Practice Branco</t>
  </si>
  <si>
    <t>Suporte Practice Açaí</t>
  </si>
  <si>
    <t>Suporte Practice Prata</t>
  </si>
  <si>
    <t>Suporte Practice Bronze</t>
  </si>
  <si>
    <t>MESA 50 CM BIVOLT PRETO</t>
  </si>
  <si>
    <t xml:space="preserve">MESA 50 CM BIVOLT TITANIUM </t>
  </si>
  <si>
    <t xml:space="preserve">MESA 50 CM BIVOLT PRATA </t>
  </si>
  <si>
    <t xml:space="preserve">MESA 50 CM BIVOLT BRONZE </t>
  </si>
  <si>
    <t>MESA 50 CM BIVOLT OURO</t>
  </si>
  <si>
    <t xml:space="preserve">MESA 50 CM BIVOLT CAPPUCCINO </t>
  </si>
  <si>
    <t xml:space="preserve">MESA 50 CM BIVOLT VERMELHO </t>
  </si>
  <si>
    <t>MESA 50 CM BIVOLT AÇAI</t>
  </si>
  <si>
    <t>MESA 50 CM BIVOLT BRANCO</t>
  </si>
  <si>
    <t>PAREDE 50 CM BIVOLT  PRETO</t>
  </si>
  <si>
    <t xml:space="preserve">PAREDE 50 CM BIVOLT AÇAI </t>
  </si>
  <si>
    <t xml:space="preserve">PAREDE 50 CM BIVOLT BRONZE </t>
  </si>
  <si>
    <t xml:space="preserve">PAREDE 50 CM BIVOLT PRATA </t>
  </si>
  <si>
    <t>Abraçadeira k8</t>
  </si>
  <si>
    <t>Manípulo Practice Preto</t>
  </si>
  <si>
    <t>Manípulo Practice Prata</t>
  </si>
  <si>
    <t>Manípulo Practice Bronze</t>
  </si>
  <si>
    <t xml:space="preserve">Suporte Mesa Açaí </t>
  </si>
  <si>
    <t xml:space="preserve">Suporte Mesa Bronze </t>
  </si>
  <si>
    <t xml:space="preserve">Suporte Parede Bronze </t>
  </si>
  <si>
    <t>Controle de Parede Bivolt - 50 cm</t>
  </si>
  <si>
    <t>Controle de Parede 127 V - 50 cm</t>
  </si>
  <si>
    <t>Controle de Parede 220 V - 50 cm</t>
  </si>
  <si>
    <t>Controle de Parede 127 V - 60 cm</t>
  </si>
  <si>
    <t>Controle de Parede 220 V - 60 cm</t>
  </si>
  <si>
    <t>Controle de Parede Bivolt - 60 cm</t>
  </si>
  <si>
    <t>Mont</t>
  </si>
  <si>
    <t>Suportes (ECO)</t>
  </si>
  <si>
    <t>Motores (ECO)</t>
  </si>
  <si>
    <t>Controle de Parede (ECO)</t>
  </si>
  <si>
    <t>Kits (ECO)</t>
  </si>
  <si>
    <t>Caixa de Engrenagem (ECO)</t>
  </si>
  <si>
    <t>Dimmer - Ventilador (ECO)</t>
  </si>
  <si>
    <t>Abraçadeira - Ventilador (ECO)</t>
  </si>
  <si>
    <t>Dimmer - Practice (ECO)</t>
  </si>
  <si>
    <t>Manípulo - Practice (ECO)</t>
  </si>
  <si>
    <t>Suportes - Practice (ECO)</t>
  </si>
  <si>
    <t>Suportes 127 V - 50 cm (ECO)</t>
  </si>
  <si>
    <t>Suportes 220 V - 50 cm (ECO)</t>
  </si>
  <si>
    <t>Suportes 127 V - 60 cm (ECO)</t>
  </si>
  <si>
    <t>Suportes 220 V - 60 cm (ECO)</t>
  </si>
  <si>
    <t>Rotor - Linha</t>
  </si>
  <si>
    <t>001.004.023</t>
  </si>
  <si>
    <t>001.004.021</t>
  </si>
  <si>
    <t>001.004.022</t>
  </si>
  <si>
    <t>003.001.00202</t>
  </si>
  <si>
    <t>003.001.00203</t>
  </si>
  <si>
    <t>003.001.00204</t>
  </si>
  <si>
    <t>003.001.00205</t>
  </si>
  <si>
    <t>003.001.00206</t>
  </si>
  <si>
    <t>003.003.00082</t>
  </si>
  <si>
    <t>003.003.00083</t>
  </si>
  <si>
    <t>003.003.00084</t>
  </si>
  <si>
    <t>003.003.00085</t>
  </si>
  <si>
    <t>003.003.00086</t>
  </si>
  <si>
    <t>003.003.00087</t>
  </si>
  <si>
    <t>003.003.00088</t>
  </si>
  <si>
    <t>003.003.00089</t>
  </si>
  <si>
    <t>003.003.00090</t>
  </si>
  <si>
    <t>003.003.00091</t>
  </si>
  <si>
    <t>003.003.00092</t>
  </si>
  <si>
    <t>003.003.00094</t>
  </si>
  <si>
    <t>003.003.00095</t>
  </si>
  <si>
    <t>003.003.00028</t>
  </si>
  <si>
    <t>003.003.00029</t>
  </si>
  <si>
    <t>003.003.00032</t>
  </si>
  <si>
    <t>003.003.00033</t>
  </si>
  <si>
    <t>003.003.00030</t>
  </si>
  <si>
    <t>003.003.00031</t>
  </si>
  <si>
    <t>003.003.00017</t>
  </si>
  <si>
    <t>003.003.00020</t>
  </si>
  <si>
    <t>003.003.00081</t>
  </si>
  <si>
    <t>002.001.00007</t>
  </si>
  <si>
    <t>002.001.00084</t>
  </si>
  <si>
    <t>002.001.00045</t>
  </si>
  <si>
    <t>003.001.00116</t>
  </si>
  <si>
    <t>003.001.00128</t>
  </si>
  <si>
    <t>003.001.00172</t>
  </si>
  <si>
    <t>002.001.00022</t>
  </si>
  <si>
    <t>002.001.00025</t>
  </si>
  <si>
    <t>002.001.00065</t>
  </si>
  <si>
    <t>002.001.00066</t>
  </si>
  <si>
    <t>002.004.00010</t>
  </si>
  <si>
    <t>002.004.00011</t>
  </si>
  <si>
    <t>002.001.00040</t>
  </si>
  <si>
    <t>Dimmer Bivolt - (50 cm)</t>
  </si>
  <si>
    <t>Dimmer Bivolt - (60 cm)</t>
  </si>
  <si>
    <t>MESA 50 CM 127 V DARK</t>
  </si>
  <si>
    <t>PAREDE 50 CM 127 V DARK</t>
  </si>
  <si>
    <t>PAREDE 60 CM 127 V DARK</t>
  </si>
  <si>
    <t>COLUNA 50 CM 127 V DARK</t>
  </si>
  <si>
    <t>COLUNA 60 CM 127 V DARK</t>
  </si>
  <si>
    <t>PRACTICE 50 CM 127 V DARK</t>
  </si>
  <si>
    <t>PRACTICE 60 CM 127 V DARK</t>
  </si>
  <si>
    <t>MESA 50 CM 220 V DARK</t>
  </si>
  <si>
    <t>PAREDE 50 CM 220 V DARK</t>
  </si>
  <si>
    <t>PAREDE 60 CM 220 V DARK</t>
  </si>
  <si>
    <t>COLUNA 50 CM 220 V DARK</t>
  </si>
  <si>
    <t>COLUNA 60 CM 220 V DARK</t>
  </si>
  <si>
    <t>PRACTICE 50 CM 220 V DARK</t>
  </si>
  <si>
    <t>PRACTICE 60 CM 220 V DARK</t>
  </si>
  <si>
    <t>MESA 50 CM BIVOLT DARK</t>
  </si>
  <si>
    <t>PAREDE 50 CM BIVOLT DARK</t>
  </si>
  <si>
    <t>PAREDE 60 CM BIVOLT DARK</t>
  </si>
  <si>
    <t>COLUNA 50 CM BIVOLT DARK</t>
  </si>
  <si>
    <t>COLUNA 60 CM BIVOLT DARK</t>
  </si>
  <si>
    <t>003.001.00129</t>
  </si>
  <si>
    <t>Manípulo Practice Dourado</t>
  </si>
  <si>
    <t xml:space="preserve"> Ventilador (ECO)</t>
  </si>
  <si>
    <t>Caixa Eco 50 cm 495 X 236 X 497</t>
  </si>
  <si>
    <t>Caixa Eco 60 cm 595 X 235 X 595</t>
  </si>
  <si>
    <t>Capacitor Bivolt - (50/60 cm)</t>
  </si>
  <si>
    <t>Esteira</t>
  </si>
  <si>
    <t>(Retrabalho)</t>
  </si>
  <si>
    <t>(Logomarca)</t>
  </si>
  <si>
    <t>(Grade 2°)</t>
  </si>
  <si>
    <t>(teste 2°)</t>
  </si>
  <si>
    <t>(Etiqueta)</t>
  </si>
  <si>
    <t>(Embalagem)</t>
  </si>
  <si>
    <t>(Kit)</t>
  </si>
  <si>
    <t>(Final)</t>
  </si>
  <si>
    <t>FÉRIAS</t>
  </si>
  <si>
    <t xml:space="preserve">           Carga - </t>
  </si>
  <si>
    <t>OPS</t>
  </si>
  <si>
    <t xml:space="preserve">Quant. </t>
  </si>
  <si>
    <t xml:space="preserve">220 V 50 cm </t>
  </si>
  <si>
    <t xml:space="preserve">220 V 60 cm </t>
  </si>
  <si>
    <t>Seque.</t>
  </si>
  <si>
    <t>Status</t>
  </si>
  <si>
    <t>NI</t>
  </si>
  <si>
    <t>127 V 4.3 cm</t>
  </si>
  <si>
    <t>220 V 4.3 cm</t>
  </si>
  <si>
    <t>127 V - 4.3 cm AL</t>
  </si>
  <si>
    <t>220 V - 4.3 cm AL</t>
  </si>
  <si>
    <t>001.004.031</t>
  </si>
  <si>
    <t>001.004.032</t>
  </si>
  <si>
    <t>003.003.00155</t>
  </si>
  <si>
    <t>Caixa de Engrenagem 50/60 cm</t>
  </si>
  <si>
    <t xml:space="preserve">Caixa de Engrenagem 4.3 cm </t>
  </si>
  <si>
    <t>MESA 4.3 CM 127 V TITAMIUM</t>
  </si>
  <si>
    <t xml:space="preserve">MESA 4.3 CM 220 V TITANIUM </t>
  </si>
  <si>
    <t xml:space="preserve">MESA 4.3 CM 127 V AÇAI </t>
  </si>
  <si>
    <t xml:space="preserve">MESA 43 CM 127 V VERMELHO </t>
  </si>
  <si>
    <t>MESA 43 CM 127 V BRONZE</t>
  </si>
  <si>
    <t xml:space="preserve">MESA 43 CM 127 V PRATA  </t>
  </si>
  <si>
    <t>MESA 4.3 CM 220 V AÇAI</t>
  </si>
  <si>
    <t>MESA 4.3 CM 220 V VERMELHO</t>
  </si>
  <si>
    <t xml:space="preserve">MESA 4.3 CM 220 V BRONZE </t>
  </si>
  <si>
    <t>MESA 4.3 CM 220 V PRATA</t>
  </si>
  <si>
    <t>PAREDE 4.3 CM 127 V TITANIUM</t>
  </si>
  <si>
    <t>PAREDE 4.3 CM 220 V TITANIUM</t>
  </si>
  <si>
    <t xml:space="preserve">Carga - </t>
  </si>
  <si>
    <t>Daisy</t>
  </si>
  <si>
    <t>Fabio</t>
  </si>
  <si>
    <t>220 V - 50 cm AL</t>
  </si>
  <si>
    <t>127 V - 50cm AL</t>
  </si>
  <si>
    <t>127 V - 60 cm AL</t>
  </si>
  <si>
    <t>220 V - 60 cm AL</t>
  </si>
  <si>
    <t>Bivolt - 50 cm (Mesa/Coluna)</t>
  </si>
  <si>
    <t>Bivolt - 50 cm  (Parede)</t>
  </si>
  <si>
    <t>Bivolt - 60 cm (Mesa/Coluna)</t>
  </si>
  <si>
    <t>Bivolt - 60 cm (Parede)</t>
  </si>
  <si>
    <t>001.002.001.053</t>
  </si>
  <si>
    <t>MOTOR COLUNA/MESA PRETO BIVOLT 11,5 UNIVERSAL</t>
  </si>
  <si>
    <t>001.002.001.024</t>
  </si>
  <si>
    <t>MOTOR PAREDE PRETO BIVOLT 11,5 UNIVERSAL</t>
  </si>
  <si>
    <t>001.002.001.049</t>
  </si>
  <si>
    <t>MOTOR COLUNA/MESA BRANCO BIVOLT 11,5</t>
  </si>
  <si>
    <t>001.002.001.029</t>
  </si>
  <si>
    <t>MOTOR PAREDE BRANCO BIVOLT 11,5</t>
  </si>
  <si>
    <t>001.002.001.043</t>
  </si>
  <si>
    <t>MOTOR COLUNA/MESA AÇAÍ BIVOLT 11,5</t>
  </si>
  <si>
    <t>001.002.001.036</t>
  </si>
  <si>
    <t>MOTOR PAREDE AÇAÍ BIVOLT 11,5</t>
  </si>
  <si>
    <t>001.002.001.095</t>
  </si>
  <si>
    <t>MOTOR COLUNA/MESA BRONZE BIVOLT 11,5</t>
  </si>
  <si>
    <t>001.002.001.100</t>
  </si>
  <si>
    <t>MOTOR PAREDE BRONZE BIVOLT 11,5</t>
  </si>
  <si>
    <t>001.002.001.051</t>
  </si>
  <si>
    <t>MOTOR COLUNA/MESA PRATA BIVOLT 11,5</t>
  </si>
  <si>
    <t>001.002.001.041</t>
  </si>
  <si>
    <t>MOTOR PAREDE PRATA BIVOLT 11,5</t>
  </si>
  <si>
    <t>001.002.001.061</t>
  </si>
  <si>
    <t>MOTOR COLUNA/MESA VERMELHO BIVOLT 11,5</t>
  </si>
  <si>
    <t>001.002.001.098</t>
  </si>
  <si>
    <t>MOTOR COLUNA/MESA CAPPUCCINO BIVOLT 11,5</t>
  </si>
  <si>
    <t>001.002.001.063</t>
  </si>
  <si>
    <t>MOTOR COLUNA/MESA OURO BIVOLT 11,5</t>
  </si>
  <si>
    <t>001.002.003.053</t>
  </si>
  <si>
    <t>MOTOR COLUNA/MESA PRETO127 V 11,5 UNIVERSAL</t>
  </si>
  <si>
    <t>001.002.003.017</t>
  </si>
  <si>
    <t>MOTOR PAREDE PRETO 127 V 11,5 UNIVERSAL</t>
  </si>
  <si>
    <t>001.002.003.071</t>
  </si>
  <si>
    <t>MOTOR PRACTICE PRETO 127 V 11,5 UNIVERSAL</t>
  </si>
  <si>
    <t>001.002.003.049</t>
  </si>
  <si>
    <t>MOTOR COLUNA/MESA BRANCO 127 V 11,5</t>
  </si>
  <si>
    <t>001.002.003.028</t>
  </si>
  <si>
    <t>MOTOR PAREDE BRANCO 127 V 11,5</t>
  </si>
  <si>
    <t>001.002.003.072</t>
  </si>
  <si>
    <t>MOTOR PRACTICE BRANCO 127 V 11,5</t>
  </si>
  <si>
    <t>001.002.003.043</t>
  </si>
  <si>
    <t>MOTOR COLUNA/MESA ACAI 127 V 11,5</t>
  </si>
  <si>
    <t>001.002.003.041</t>
  </si>
  <si>
    <t>MOTOR PAREDE AÇAÍ 127 V 11,5</t>
  </si>
  <si>
    <t>001.002.003.079</t>
  </si>
  <si>
    <t>MOTOR PRACTICE AÇAÍ 127 V 11,5</t>
  </si>
  <si>
    <t>001.002.003.098</t>
  </si>
  <si>
    <t>MOTOR COLUNA/MESA BRONZE 127 V 11,5</t>
  </si>
  <si>
    <t>001.002.003.100</t>
  </si>
  <si>
    <t>MOTOR PAREDE BRONZE 127 V 11,5</t>
  </si>
  <si>
    <t>001.002.003.101</t>
  </si>
  <si>
    <t>MOTOR PRACTICE BRONZE 127 V 11,5</t>
  </si>
  <si>
    <t>001.002.003.051</t>
  </si>
  <si>
    <t>MOTOR COLUNA/MESA PRATA 127 V 11,5</t>
  </si>
  <si>
    <t>001.002.003.036</t>
  </si>
  <si>
    <t>MOTOR PAREDE PRATA 127 V 11,5</t>
  </si>
  <si>
    <t>001.002.003.080</t>
  </si>
  <si>
    <t>MOTOR PRACTICE PRATA 127 V 11,5</t>
  </si>
  <si>
    <t>001.002.003.061</t>
  </si>
  <si>
    <t>MOTOR COLUNA/MESA VERMELHO 127 V 11,5</t>
  </si>
  <si>
    <t>001.002.003.094</t>
  </si>
  <si>
    <t>MOTOR COLUNA/MESA CAPPUCCINO 127 V 11,5</t>
  </si>
  <si>
    <t>001.002.003.063</t>
  </si>
  <si>
    <t>MOTOR COLUNA/MESA OURO 127 V 11,5</t>
  </si>
  <si>
    <t>001.002.002.053</t>
  </si>
  <si>
    <t>MOTOR COLUNA/MESA PRETO 220 V 11,5 UNIVERSAL</t>
  </si>
  <si>
    <t>001.002.002.028</t>
  </si>
  <si>
    <t>MOTOR PAREDE  PRETO 220 V 11,5 UNIVERSAL</t>
  </si>
  <si>
    <t>001.002.002.071</t>
  </si>
  <si>
    <t>MOTOR PRACTICE PRETO 220 V 11,5 UNIVERSAL</t>
  </si>
  <si>
    <t>001.002.002.049</t>
  </si>
  <si>
    <t>MOTOR COLUNA/MESA BRANCO 220 V 11,5</t>
  </si>
  <si>
    <t>001.002.002.027</t>
  </si>
  <si>
    <t>MOTOR PAREDE BRANCO 220 V 11,5</t>
  </si>
  <si>
    <t>001.002.002.072</t>
  </si>
  <si>
    <t>MOTOR PRACTICE BRANCO 220 V 11,5</t>
  </si>
  <si>
    <t>001.002.002.043</t>
  </si>
  <si>
    <t>MOTOR COLUNA/MESA AÇAÍ 220 V 11,5</t>
  </si>
  <si>
    <t>001.002.002.041</t>
  </si>
  <si>
    <t>MOTOR PAREDE AÇAÍ 220 V 11,5</t>
  </si>
  <si>
    <t>001.002.002.079</t>
  </si>
  <si>
    <t>MOTOR PRACTICE AÇAÍ 220 V 11,5</t>
  </si>
  <si>
    <t>001.002.002.098</t>
  </si>
  <si>
    <t>MOTOR COLUNA/MESA BRONZE 220 V 11,5</t>
  </si>
  <si>
    <t>001.002.002.100</t>
  </si>
  <si>
    <t>MOTOR PAREDE BRONZE 220 V 11,5</t>
  </si>
  <si>
    <t>001.002.002.102</t>
  </si>
  <si>
    <t>MOTOR PRACTICE BRONZE 220 V 11,5</t>
  </si>
  <si>
    <t>001.002.002.051</t>
  </si>
  <si>
    <t>MOTOR COLUNA/MESA PRATA 220 V 11,5</t>
  </si>
  <si>
    <t>001.002.002.037</t>
  </si>
  <si>
    <t>MOTOR PAREDE PRATA 220 V 11,5</t>
  </si>
  <si>
    <t>001.002.002.080</t>
  </si>
  <si>
    <t>MOTOR PRACTICE PRATA 220 V 11,5</t>
  </si>
  <si>
    <t>001.002.002.061</t>
  </si>
  <si>
    <t>MOTOR COLUNA/MESA VERMELHO 220 V 11,5</t>
  </si>
  <si>
    <t>001.002.002.094</t>
  </si>
  <si>
    <t>MOTOR COLUNA/MESA CAPPUCCINO 220 V 11,5</t>
  </si>
  <si>
    <t>001.002.002.063</t>
  </si>
  <si>
    <t>MOTOR COLUNA/MESA OURO 220 V 11,5</t>
  </si>
  <si>
    <t>001.002.007.005</t>
  </si>
  <si>
    <t>MOTOR COLUNA PRETO BIVOLT 60 CM UNIVERSAL</t>
  </si>
  <si>
    <t>001.002.007.002</t>
  </si>
  <si>
    <t>MOTOR PAREDE PRETO BIVOLT 60 CM UNIVERSAL</t>
  </si>
  <si>
    <t>001.002.007.010</t>
  </si>
  <si>
    <t>MOTOR COLUNA BRANCO BIVOLT 60 CM</t>
  </si>
  <si>
    <t>001.002.007.011</t>
  </si>
  <si>
    <t>MOTOR PAREDE BRANCO BIVOLT 60 CM</t>
  </si>
  <si>
    <t>001.002.007.006</t>
  </si>
  <si>
    <t>MOTOR COLUNA AÇAI BIVOLT 60 CM</t>
  </si>
  <si>
    <t>001.002.007.012</t>
  </si>
  <si>
    <t>MOTOR PAREDE AÇAI BIVOLT 60 CM</t>
  </si>
  <si>
    <t>001.002.007.001</t>
  </si>
  <si>
    <t>MOTOR COLUNA BRONZE BIVOLT 60 CM</t>
  </si>
  <si>
    <t>001.002.007.013</t>
  </si>
  <si>
    <t>MOTOR PAREDE BRONZE BIVOLT 60 CM</t>
  </si>
  <si>
    <t>001.002.007.004</t>
  </si>
  <si>
    <t>MOTOR COLUNA PRATA BIVOLT 60 CM</t>
  </si>
  <si>
    <t>001.002.007.014</t>
  </si>
  <si>
    <t>MOTOR PAREDE PRATA BIVOLT 60 CM</t>
  </si>
  <si>
    <t>001.002.007.015</t>
  </si>
  <si>
    <t>MOTOR COLUNA VERMELHO BIVOLT 60 CM</t>
  </si>
  <si>
    <t>001.002.007.016</t>
  </si>
  <si>
    <t>MOTOR COLUNA OURO BIVOLT 60 CM</t>
  </si>
  <si>
    <t>001.002.005.028</t>
  </si>
  <si>
    <t>MOTOR COLUNA PRETO 127 V 60 CM UNIVERSAL</t>
  </si>
  <si>
    <t>001.002.005.029</t>
  </si>
  <si>
    <t>MOTOR PAREDE PRETO 127 V 60 CM UNIVERSAL</t>
  </si>
  <si>
    <t>001.002.005.027</t>
  </si>
  <si>
    <t>MOTOR PRACTICE PRETO 127 V 60 CM UNIVERSAL</t>
  </si>
  <si>
    <t>001.002.005.004</t>
  </si>
  <si>
    <t>MOTOR COLUNA BRANCO 127 V 60 CM</t>
  </si>
  <si>
    <t>001.002.005.008</t>
  </si>
  <si>
    <t>MOTOR PAREDE BRANCO 127 V 60 CM</t>
  </si>
  <si>
    <t>001.002.005.017</t>
  </si>
  <si>
    <t>MOTOR PRACTICE BRANCO 127 V 60 CM</t>
  </si>
  <si>
    <t>001.002.005.002</t>
  </si>
  <si>
    <t>MOTOR COLUNA AÇAÍ 127 V 60 CM</t>
  </si>
  <si>
    <t>001.002.005.007</t>
  </si>
  <si>
    <t>MOTOR PAREDE AÇAÍ 127 V 60 CM</t>
  </si>
  <si>
    <t>001.002.005.019</t>
  </si>
  <si>
    <t>MOTOR PRACTICE AÇAÍ 127 V 60 CM</t>
  </si>
  <si>
    <t>001.002.005.026</t>
  </si>
  <si>
    <t>MOTOR COLUNA BRONZE 127 V 60 CM</t>
  </si>
  <si>
    <t>001.002.005.030</t>
  </si>
  <si>
    <t>MOTOR PAREDE BRONZE 127 V 60 CM</t>
  </si>
  <si>
    <t>001.002.005.031</t>
  </si>
  <si>
    <t>MOTOR PRACTICE BRONZE 127 V 60 CM</t>
  </si>
  <si>
    <t>001.002.005.001</t>
  </si>
  <si>
    <t>MOTOR COLUNA PRATA 127 V 60 CM</t>
  </si>
  <si>
    <t>001.002.005.009</t>
  </si>
  <si>
    <t>MOTOR PAREDE PRATA 127 V 60 CM</t>
  </si>
  <si>
    <t>001.002.005.020</t>
  </si>
  <si>
    <t>MOTOR PRACTICE PRATA 127 V 60 CM</t>
  </si>
  <si>
    <t>001.002.005.006</t>
  </si>
  <si>
    <t>MOTOR COLUNA VERMELHO 127 V 60 CM</t>
  </si>
  <si>
    <t>001.002.005.011</t>
  </si>
  <si>
    <t>MOTOR COLUNA OURO 127 V 60 CM</t>
  </si>
  <si>
    <t>001.002.006.029</t>
  </si>
  <si>
    <t>MOTOR COLUNA PRETO 220 V 60 CM UNIVERSAL</t>
  </si>
  <si>
    <t>001.002.006.028</t>
  </si>
  <si>
    <t>MOTOR PAREDE PRETO 220 V 60 CM UNIVERSAL</t>
  </si>
  <si>
    <t>001.002.006.030</t>
  </si>
  <si>
    <t>MOTOR PRACTICE PRETO 220 V 60 CM UNIVERSAL</t>
  </si>
  <si>
    <t>001.002.006.004</t>
  </si>
  <si>
    <t>MOTOR COLUNA BRANCO 220 V 60 CM</t>
  </si>
  <si>
    <t>001.002.006.008</t>
  </si>
  <si>
    <t>MOTOR PAREDE BRANCO 220 V 60 CM</t>
  </si>
  <si>
    <t>001.002.006.017</t>
  </si>
  <si>
    <t>MOTOR PRACTICE BRANCO 220 V 60 CM</t>
  </si>
  <si>
    <t>001.002.006.002</t>
  </si>
  <si>
    <t>MOTOR COLUNA AÇAÍ 220 V 60 CM</t>
  </si>
  <si>
    <t>001.002.006.007</t>
  </si>
  <si>
    <t>MOTOR PAREDE AÇAÍ 220 V 60 CM</t>
  </si>
  <si>
    <t>001.002.006.019</t>
  </si>
  <si>
    <t>MOTOR PRACTICE AÇAÍ 220 V 60 CM</t>
  </si>
  <si>
    <t>001.002.006.027</t>
  </si>
  <si>
    <t>MOTOR COLUNA BRONZE 220 V 60 CM</t>
  </si>
  <si>
    <t>001.002.006.031</t>
  </si>
  <si>
    <t>MOTOR PAREDE BRONZE 220 V 60 CM</t>
  </si>
  <si>
    <t>001.002.006.032</t>
  </si>
  <si>
    <t>MOTOR PRACTICE BRONZE 220 V 60 CM</t>
  </si>
  <si>
    <t>001.002.006.001</t>
  </si>
  <si>
    <t>MOTOR COLUNA PRATA 220 V 60 CM</t>
  </si>
  <si>
    <t>001.002.006.009</t>
  </si>
  <si>
    <t>MOTOR PAREDE PRATA 220 V 60 CM</t>
  </si>
  <si>
    <t>001.002.006.020</t>
  </si>
  <si>
    <t>MOTOR PRACTICE PRATA 220 V 60 CM</t>
  </si>
  <si>
    <t>001.002.006.006</t>
  </si>
  <si>
    <t>MOTOR COLUNA VERMELHO 220 V 60 CM</t>
  </si>
  <si>
    <t>001.002.006.011</t>
  </si>
  <si>
    <t>MOTOR COLUNA OURO 220 V 60 CM</t>
  </si>
  <si>
    <t>001.002.009.001</t>
  </si>
  <si>
    <t>001.002.009.006</t>
  </si>
  <si>
    <t>MOTOR PAREDE TITANIUM 127 V 43</t>
  </si>
  <si>
    <t>001.002.009.002</t>
  </si>
  <si>
    <t>001.002.009.004</t>
  </si>
  <si>
    <t>001.002.009.005</t>
  </si>
  <si>
    <t>001.002.009.003</t>
  </si>
  <si>
    <t>001.002.010.001</t>
  </si>
  <si>
    <t>001.002.010.006</t>
  </si>
  <si>
    <t>MOTOR PAREDE TITANIUM 220 V 43</t>
  </si>
  <si>
    <t>001.002.010.002</t>
  </si>
  <si>
    <t>001.002.010.004</t>
  </si>
  <si>
    <t>001.002.010.005</t>
  </si>
  <si>
    <t>001.002.010.003</t>
  </si>
  <si>
    <t>MESA 50 CM 127 V ROSA</t>
  </si>
  <si>
    <t>COLUNA 50 CM 127 V ROSA</t>
  </si>
  <si>
    <t>MESA 50 CM 220 V ROSA</t>
  </si>
  <si>
    <t>COLUNA 50 CM 220 V ROSA</t>
  </si>
  <si>
    <t>MESA 50 CM BIVOLT ROSA</t>
  </si>
  <si>
    <t>COLUNA 50 CM BIVOLT ROSA</t>
  </si>
  <si>
    <t>Suporte Mesa Rosa</t>
  </si>
  <si>
    <t>128 V 50cm</t>
  </si>
  <si>
    <t>221 V 50cm</t>
  </si>
  <si>
    <t>003.003.00154</t>
  </si>
  <si>
    <t>001.004.009</t>
  </si>
  <si>
    <t>Carga -</t>
  </si>
  <si>
    <t xml:space="preserve">220 V 43 cm </t>
  </si>
  <si>
    <t>3°</t>
  </si>
  <si>
    <t xml:space="preserve">COLUNA 4.3 CM 220V TITANIUM </t>
  </si>
  <si>
    <t xml:space="preserve">COLUNA 4.3 CM 220V BRONZE </t>
  </si>
  <si>
    <t xml:space="preserve">COLUNA 4.3 CM 127 V BRONZE </t>
  </si>
  <si>
    <t xml:space="preserve">COLUNA 4.3 CM 127V TITANIUM </t>
  </si>
  <si>
    <t xml:space="preserve">127 V 43 cm </t>
  </si>
  <si>
    <t xml:space="preserve">BIVOLT V 50 cm </t>
  </si>
  <si>
    <t xml:space="preserve">BIVOLT V 60 cm </t>
  </si>
  <si>
    <t xml:space="preserve">127 V 50 cm </t>
  </si>
  <si>
    <t xml:space="preserve">127 V 60 cm </t>
  </si>
  <si>
    <t>4°</t>
  </si>
  <si>
    <t>5°</t>
  </si>
  <si>
    <t>6°</t>
  </si>
  <si>
    <t>7°</t>
  </si>
  <si>
    <t>127 V - 43 cm</t>
  </si>
  <si>
    <t>220 V - 43 cm</t>
  </si>
  <si>
    <t>Bivolt - 60 cm</t>
  </si>
  <si>
    <t>Bivolt - 50 cm</t>
  </si>
  <si>
    <t>127 V - 50 cm</t>
  </si>
  <si>
    <t>127 V - 60 cm</t>
  </si>
  <si>
    <t>8°</t>
  </si>
  <si>
    <t>OP</t>
  </si>
  <si>
    <t>Vent.</t>
  </si>
  <si>
    <t>QTD</t>
  </si>
  <si>
    <t>OP motor</t>
  </si>
  <si>
    <t>(MOTORES , PINO E KNOB)</t>
  </si>
  <si>
    <t>SILVAN</t>
  </si>
  <si>
    <t>(GRADE 2°)</t>
  </si>
  <si>
    <t>(GRADE 1°)</t>
  </si>
  <si>
    <t>CRIMPADORA</t>
  </si>
  <si>
    <t>(TESTE 2°)</t>
  </si>
  <si>
    <t>(TESTE 1°)</t>
  </si>
  <si>
    <t xml:space="preserve">NATYLIANE </t>
  </si>
  <si>
    <t>DENILSON</t>
  </si>
  <si>
    <t>DANIEL</t>
  </si>
  <si>
    <t>FRANCISVALDO</t>
  </si>
  <si>
    <t>MESA DE FERRAMENTAS</t>
  </si>
  <si>
    <t>RABICHO COM PLUG / RABICHO MACHO</t>
  </si>
  <si>
    <t xml:space="preserve">CRIMPADORA </t>
  </si>
  <si>
    <t xml:space="preserve">FRANCISVALDO </t>
  </si>
  <si>
    <t>SECAGEM E ABRAÇADEIRA</t>
  </si>
  <si>
    <t>DAYSE</t>
  </si>
  <si>
    <t>MANÍPULO</t>
  </si>
  <si>
    <t xml:space="preserve">TESTE DE PRACTICE </t>
  </si>
  <si>
    <t>DÉBORA</t>
  </si>
  <si>
    <t xml:space="preserve">EMBALAGEM E BORBOLETA </t>
  </si>
  <si>
    <t xml:space="preserve">PRACTICE </t>
  </si>
  <si>
    <t>NATYLIANE</t>
  </si>
  <si>
    <t>DISCO TRAVA</t>
  </si>
  <si>
    <t>PARAFUSAR</t>
  </si>
  <si>
    <t>BORBOLETA</t>
  </si>
  <si>
    <t>EMBALAR</t>
  </si>
  <si>
    <t xml:space="preserve">SUPORTE PAREDE </t>
  </si>
  <si>
    <t xml:space="preserve">BASE ESTRELA ECO </t>
  </si>
  <si>
    <t>SUPORTE MESA</t>
  </si>
  <si>
    <t xml:space="preserve">CONTROLES </t>
  </si>
  <si>
    <t xml:space="preserve">ETIQUETA </t>
  </si>
  <si>
    <t>ETIQUETA/DISCO TRAVA</t>
  </si>
  <si>
    <t xml:space="preserve">DIMMER/ARRUELA E PORCA </t>
  </si>
  <si>
    <t xml:space="preserve">PARAFUSAR </t>
  </si>
  <si>
    <t>PARAFUSADEIRA</t>
  </si>
  <si>
    <t>ETIQUETA/KNOB</t>
  </si>
  <si>
    <t xml:space="preserve">BORBOLETA </t>
  </si>
  <si>
    <t xml:space="preserve">DANIEL </t>
  </si>
  <si>
    <t>GRAMPEAR</t>
  </si>
  <si>
    <t>CAIXA</t>
  </si>
  <si>
    <t xml:space="preserve">EMBALAR </t>
  </si>
  <si>
    <t xml:space="preserve">BEGUE </t>
  </si>
  <si>
    <t>TOTAL</t>
  </si>
  <si>
    <t>MOTOR</t>
  </si>
  <si>
    <t>QNT</t>
  </si>
  <si>
    <t>MOTOR COLUNA/MESA ACAI 127 V 43</t>
  </si>
  <si>
    <t>MOTOR COLUNA/MESA ACAI 220 V 43</t>
  </si>
  <si>
    <t>MOTOR COLUNA/MESA BRONZE 127 V 43</t>
  </si>
  <si>
    <t>MOTOR COLUNA/MESA BRONZE 220 V 43</t>
  </si>
  <si>
    <t>MOTOR COLUNA/MESA PRATA 127 V 43</t>
  </si>
  <si>
    <t>MOTOR COLUNA/MESA PRATA 220 V 43</t>
  </si>
  <si>
    <t>MOTOR COLUNA/MESA TITANIUM 127 V 43</t>
  </si>
  <si>
    <t>MOTOR COLUNA/MESA TITANIUM 220 V 43</t>
  </si>
  <si>
    <t>MOTOR COLUNA/MESA VERMELHO 127 V 43</t>
  </si>
  <si>
    <t>MOTOR COLUNA/MESA VERMELHO 220 V 43</t>
  </si>
  <si>
    <t>SAYMON</t>
  </si>
  <si>
    <t xml:space="preserve">VINÍCIUS </t>
  </si>
  <si>
    <t xml:space="preserve">IGOR </t>
  </si>
  <si>
    <t>DANIEL E IGOR</t>
  </si>
  <si>
    <t xml:space="preserve">VINICIUS </t>
  </si>
  <si>
    <t>IGOR</t>
  </si>
  <si>
    <t>VINICIUS</t>
  </si>
  <si>
    <t>DÉBORA / FRAN</t>
  </si>
  <si>
    <t>DÉBORA/FRAN</t>
  </si>
  <si>
    <t>JULIO</t>
  </si>
  <si>
    <t xml:space="preserve">COLUNA 4.3 CM 127 V AÇAI </t>
  </si>
  <si>
    <t>COLUNA 4.3 CM 127 V VERMELHO</t>
  </si>
  <si>
    <t xml:space="preserve">COLUNA 4.3 CM 127 V PRATA </t>
  </si>
  <si>
    <t>COLUNA 4.3 CM 220V AÇAI</t>
  </si>
  <si>
    <t>COLUNA 4.3 CM 220V VERMELHO</t>
  </si>
  <si>
    <t>COLUNA 4.3 CM 220V PRATA</t>
  </si>
  <si>
    <t xml:space="preserve">TWISTER PAREDE PRETO 220 V 60 CM </t>
  </si>
  <si>
    <t xml:space="preserve">TWISTER COLUNA PRETO 220 V 60 CM </t>
  </si>
  <si>
    <t>220 V 60 cm</t>
  </si>
  <si>
    <t>127 V 60 cm</t>
  </si>
  <si>
    <t xml:space="preserve">TWISTER PAREDE PRETO 127 V 60 CM </t>
  </si>
  <si>
    <t xml:space="preserve">TWISTER COLUNA PRETO 127 V 60 CM </t>
  </si>
  <si>
    <t xml:space="preserve">TWISTER 220 V </t>
  </si>
  <si>
    <t xml:space="preserve">TWISTER 127 V </t>
  </si>
  <si>
    <t xml:space="preserve">TWISTER BIVOLT </t>
  </si>
  <si>
    <t>PAREDE TWISTER 60 CM BIVOLT PRETO</t>
  </si>
  <si>
    <t>COLUNA TWISTER 60 CM BIVOLT PRETO</t>
  </si>
  <si>
    <t>9°</t>
  </si>
  <si>
    <t>10°</t>
  </si>
  <si>
    <t>11°</t>
  </si>
  <si>
    <t>TWISTER 127V</t>
  </si>
  <si>
    <t>TWISTER BIVOLT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</si>
</sst>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.5"/>
      <color rgb="FF000000"/>
      <name val="Arial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b/>
      <sz val="15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7E7E7E"/>
        <bgColor rgb="FFFFFFFF"/>
      </patternFill>
    </fill>
    <fill>
      <patternFill patternType="solid">
        <fgColor rgb="FF7E7E7E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E7E7E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E7E7E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Dashed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Dashed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6"/>
  </cellStyleXfs>
  <cellXfs count="313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/>
    <xf numFmtId="0" fontId="2" fillId="4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right"/>
    </xf>
    <xf numFmtId="0" fontId="4" fillId="0" borderId="4" xfId="0" applyFont="1" applyBorder="1" applyProtection="1">
      <protection locked="0"/>
    </xf>
    <xf numFmtId="0" fontId="2" fillId="5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6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3" fontId="0" fillId="0" borderId="12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/>
    <xf numFmtId="0" fontId="0" fillId="0" borderId="6" xfId="0" applyBorder="1"/>
    <xf numFmtId="0" fontId="4" fillId="11" borderId="19" xfId="0" applyFont="1" applyFill="1" applyBorder="1"/>
    <xf numFmtId="0" fontId="4" fillId="11" borderId="23" xfId="0" applyFont="1" applyFill="1" applyBorder="1"/>
    <xf numFmtId="3" fontId="4" fillId="0" borderId="2" xfId="0" applyNumberFormat="1" applyFont="1" applyBorder="1"/>
    <xf numFmtId="3" fontId="4" fillId="12" borderId="19" xfId="0" applyNumberFormat="1" applyFont="1" applyFill="1" applyBorder="1"/>
    <xf numFmtId="3" fontId="4" fillId="13" borderId="19" xfId="0" applyNumberFormat="1" applyFont="1" applyFill="1" applyBorder="1"/>
    <xf numFmtId="0" fontId="4" fillId="0" borderId="19" xfId="0" applyFont="1" applyBorder="1"/>
    <xf numFmtId="0" fontId="4" fillId="0" borderId="23" xfId="0" applyFont="1" applyBorder="1"/>
    <xf numFmtId="3" fontId="4" fillId="14" borderId="19" xfId="0" applyNumberFormat="1" applyFont="1" applyFill="1" applyBorder="1"/>
    <xf numFmtId="0" fontId="4" fillId="0" borderId="19" xfId="0" applyFont="1" applyBorder="1" applyAlignment="1">
      <alignment horizontal="right" vertical="center"/>
    </xf>
    <xf numFmtId="3" fontId="4" fillId="15" borderId="19" xfId="0" applyNumberFormat="1" applyFont="1" applyFill="1" applyBorder="1"/>
    <xf numFmtId="3" fontId="4" fillId="0" borderId="24" xfId="0" applyNumberFormat="1" applyFont="1" applyBorder="1"/>
    <xf numFmtId="0" fontId="4" fillId="0" borderId="25" xfId="0" applyFont="1" applyBorder="1"/>
    <xf numFmtId="0" fontId="4" fillId="11" borderId="25" xfId="0" applyFont="1" applyFill="1" applyBorder="1"/>
    <xf numFmtId="3" fontId="4" fillId="0" borderId="19" xfId="0" applyNumberFormat="1" applyFont="1" applyBorder="1"/>
    <xf numFmtId="3" fontId="4" fillId="16" borderId="19" xfId="0" applyNumberFormat="1" applyFont="1" applyFill="1" applyBorder="1"/>
    <xf numFmtId="0" fontId="2" fillId="4" borderId="26" xfId="0" applyFont="1" applyFill="1" applyBorder="1" applyAlignment="1">
      <alignment horizontal="center"/>
    </xf>
    <xf numFmtId="3" fontId="0" fillId="0" borderId="27" xfId="0" applyNumberFormat="1" applyBorder="1" applyAlignment="1">
      <alignment horizontal="right"/>
    </xf>
    <xf numFmtId="3" fontId="0" fillId="0" borderId="28" xfId="0" applyNumberFormat="1" applyBorder="1" applyAlignment="1">
      <alignment horizontal="right"/>
    </xf>
    <xf numFmtId="0" fontId="2" fillId="9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3" fontId="0" fillId="0" borderId="6" xfId="0" applyNumberFormat="1" applyBorder="1" applyAlignment="1">
      <alignment horizontal="right"/>
    </xf>
    <xf numFmtId="3" fontId="0" fillId="0" borderId="17" xfId="0" applyNumberFormat="1" applyBorder="1"/>
    <xf numFmtId="3" fontId="0" fillId="0" borderId="17" xfId="0" applyNumberFormat="1" applyBorder="1" applyAlignment="1">
      <alignment horizontal="right"/>
    </xf>
    <xf numFmtId="0" fontId="2" fillId="4" borderId="17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4" fillId="11" borderId="33" xfId="0" applyFont="1" applyFill="1" applyBorder="1"/>
    <xf numFmtId="0" fontId="4" fillId="11" borderId="34" xfId="0" applyFont="1" applyFill="1" applyBorder="1"/>
    <xf numFmtId="0" fontId="0" fillId="0" borderId="37" xfId="0" applyBorder="1"/>
    <xf numFmtId="3" fontId="0" fillId="0" borderId="38" xfId="0" applyNumberFormat="1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0" fillId="0" borderId="39" xfId="0" applyNumberFormat="1" applyBorder="1" applyAlignment="1">
      <alignment horizontal="right"/>
    </xf>
    <xf numFmtId="3" fontId="0" fillId="0" borderId="20" xfId="0" applyNumberFormat="1" applyBorder="1" applyAlignment="1">
      <alignment horizontal="right"/>
    </xf>
    <xf numFmtId="0" fontId="0" fillId="0" borderId="42" xfId="0" applyBorder="1"/>
    <xf numFmtId="0" fontId="0" fillId="0" borderId="35" xfId="0" applyBorder="1"/>
    <xf numFmtId="0" fontId="0" fillId="0" borderId="46" xfId="0" applyBorder="1"/>
    <xf numFmtId="0" fontId="0" fillId="0" borderId="49" xfId="0" applyBorder="1"/>
    <xf numFmtId="0" fontId="0" fillId="0" borderId="40" xfId="0" applyBorder="1"/>
    <xf numFmtId="3" fontId="0" fillId="0" borderId="37" xfId="0" applyNumberFormat="1" applyBorder="1"/>
    <xf numFmtId="0" fontId="2" fillId="4" borderId="20" xfId="0" applyFont="1" applyFill="1" applyBorder="1" applyAlignment="1">
      <alignment horizontal="center" vertical="center"/>
    </xf>
    <xf numFmtId="3" fontId="0" fillId="0" borderId="51" xfId="0" applyNumberFormat="1" applyBorder="1" applyAlignment="1">
      <alignment horizontal="right" vertical="center"/>
    </xf>
    <xf numFmtId="3" fontId="0" fillId="0" borderId="34" xfId="0" applyNumberFormat="1" applyBorder="1" applyAlignment="1">
      <alignment horizontal="right" vertical="center"/>
    </xf>
    <xf numFmtId="3" fontId="0" fillId="0" borderId="33" xfId="0" applyNumberFormat="1" applyBorder="1" applyAlignment="1">
      <alignment horizontal="right" vertical="center"/>
    </xf>
    <xf numFmtId="3" fontId="0" fillId="0" borderId="37" xfId="0" applyNumberFormat="1" applyBorder="1" applyAlignment="1">
      <alignment horizontal="right" vertical="center"/>
    </xf>
    <xf numFmtId="3" fontId="0" fillId="0" borderId="20" xfId="0" applyNumberFormat="1" applyBorder="1" applyAlignment="1">
      <alignment horizontal="right" vertical="center"/>
    </xf>
    <xf numFmtId="3" fontId="0" fillId="0" borderId="41" xfId="0" applyNumberFormat="1" applyBorder="1" applyAlignment="1">
      <alignment horizontal="right" vertical="center"/>
    </xf>
    <xf numFmtId="0" fontId="2" fillId="0" borderId="6" xfId="0" applyFont="1" applyBorder="1" applyAlignment="1">
      <alignment horizontal="left"/>
    </xf>
    <xf numFmtId="3" fontId="0" fillId="0" borderId="6" xfId="0" applyNumberFormat="1" applyBorder="1"/>
    <xf numFmtId="0" fontId="0" fillId="0" borderId="52" xfId="0" applyBorder="1"/>
    <xf numFmtId="0" fontId="0" fillId="0" borderId="53" xfId="0" applyBorder="1"/>
    <xf numFmtId="3" fontId="0" fillId="0" borderId="53" xfId="0" applyNumberFormat="1" applyBorder="1" applyAlignment="1">
      <alignment horizontal="right"/>
    </xf>
    <xf numFmtId="0" fontId="0" fillId="0" borderId="38" xfId="0" applyBorder="1"/>
    <xf numFmtId="49" fontId="0" fillId="0" borderId="34" xfId="0" applyNumberFormat="1" applyBorder="1" applyAlignment="1">
      <alignment horizontal="right" vertical="center"/>
    </xf>
    <xf numFmtId="0" fontId="2" fillId="5" borderId="54" xfId="0" applyFont="1" applyFill="1" applyBorder="1" applyAlignment="1">
      <alignment horizontal="center"/>
    </xf>
    <xf numFmtId="49" fontId="0" fillId="0" borderId="33" xfId="0" applyNumberFormat="1" applyBorder="1" applyAlignment="1">
      <alignment horizontal="right" vertical="center"/>
    </xf>
    <xf numFmtId="0" fontId="2" fillId="8" borderId="20" xfId="0" applyFont="1" applyFill="1" applyBorder="1" applyAlignment="1">
      <alignment horizontal="center"/>
    </xf>
    <xf numFmtId="0" fontId="0" fillId="0" borderId="55" xfId="0" applyBorder="1"/>
    <xf numFmtId="49" fontId="0" fillId="0" borderId="37" xfId="0" applyNumberFormat="1" applyBorder="1" applyAlignment="1">
      <alignment horizontal="right" vertical="center"/>
    </xf>
    <xf numFmtId="49" fontId="0" fillId="0" borderId="47" xfId="0" applyNumberFormat="1" applyBorder="1" applyAlignment="1">
      <alignment horizontal="right" vertical="center"/>
    </xf>
    <xf numFmtId="49" fontId="0" fillId="0" borderId="56" xfId="0" applyNumberFormat="1" applyBorder="1" applyAlignment="1">
      <alignment horizontal="right" vertical="center"/>
    </xf>
    <xf numFmtId="0" fontId="2" fillId="4" borderId="54" xfId="0" applyFont="1" applyFill="1" applyBorder="1" applyAlignment="1">
      <alignment horizontal="center"/>
    </xf>
    <xf numFmtId="0" fontId="0" fillId="0" borderId="57" xfId="0" applyBorder="1"/>
    <xf numFmtId="0" fontId="0" fillId="0" borderId="48" xfId="0" applyBorder="1"/>
    <xf numFmtId="49" fontId="0" fillId="0" borderId="41" xfId="0" applyNumberFormat="1" applyBorder="1" applyAlignment="1">
      <alignment horizontal="right" vertical="center"/>
    </xf>
    <xf numFmtId="0" fontId="0" fillId="0" borderId="45" xfId="0" applyBorder="1"/>
    <xf numFmtId="0" fontId="0" fillId="0" borderId="37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58" xfId="0" applyBorder="1"/>
    <xf numFmtId="0" fontId="0" fillId="0" borderId="14" xfId="0" applyBorder="1"/>
    <xf numFmtId="0" fontId="4" fillId="11" borderId="37" xfId="0" applyFont="1" applyFill="1" applyBorder="1"/>
    <xf numFmtId="0" fontId="2" fillId="7" borderId="4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 vertical="center"/>
    </xf>
    <xf numFmtId="0" fontId="0" fillId="0" borderId="41" xfId="0" applyBorder="1"/>
    <xf numFmtId="3" fontId="0" fillId="0" borderId="59" xfId="0" applyNumberFormat="1" applyBorder="1"/>
    <xf numFmtId="0" fontId="0" fillId="0" borderId="33" xfId="0" applyBorder="1"/>
    <xf numFmtId="3" fontId="0" fillId="0" borderId="60" xfId="0" applyNumberFormat="1" applyBorder="1"/>
    <xf numFmtId="0" fontId="2" fillId="6" borderId="61" xfId="0" applyFont="1" applyFill="1" applyBorder="1" applyAlignment="1">
      <alignment horizontal="center"/>
    </xf>
    <xf numFmtId="0" fontId="0" fillId="0" borderId="62" xfId="0" applyBorder="1" applyAlignment="1">
      <alignment horizontal="right"/>
    </xf>
    <xf numFmtId="0" fontId="2" fillId="4" borderId="63" xfId="0" applyFont="1" applyFill="1" applyBorder="1" applyAlignment="1">
      <alignment horizontal="center"/>
    </xf>
    <xf numFmtId="3" fontId="4" fillId="0" borderId="42" xfId="0" applyNumberFormat="1" applyFont="1" applyBorder="1"/>
    <xf numFmtId="0" fontId="0" fillId="0" borderId="64" xfId="0" applyBorder="1"/>
    <xf numFmtId="3" fontId="4" fillId="0" borderId="43" xfId="0" applyNumberFormat="1" applyFont="1" applyBorder="1"/>
    <xf numFmtId="0" fontId="0" fillId="0" borderId="65" xfId="0" applyBorder="1"/>
    <xf numFmtId="3" fontId="4" fillId="0" borderId="66" xfId="0" applyNumberFormat="1" applyFont="1" applyBorder="1"/>
    <xf numFmtId="3" fontId="4" fillId="0" borderId="67" xfId="0" applyNumberFormat="1" applyFont="1" applyBorder="1"/>
    <xf numFmtId="3" fontId="4" fillId="0" borderId="68" xfId="0" applyNumberFormat="1" applyFont="1" applyBorder="1"/>
    <xf numFmtId="0" fontId="4" fillId="0" borderId="69" xfId="0" applyFont="1" applyBorder="1"/>
    <xf numFmtId="0" fontId="4" fillId="0" borderId="70" xfId="0" applyFont="1" applyBorder="1"/>
    <xf numFmtId="3" fontId="4" fillId="0" borderId="51" xfId="0" applyNumberFormat="1" applyFont="1" applyBorder="1"/>
    <xf numFmtId="3" fontId="4" fillId="0" borderId="33" xfId="0" applyNumberFormat="1" applyFont="1" applyBorder="1"/>
    <xf numFmtId="3" fontId="4" fillId="0" borderId="34" xfId="0" applyNumberFormat="1" applyFont="1" applyBorder="1"/>
    <xf numFmtId="0" fontId="2" fillId="6" borderId="71" xfId="0" applyFont="1" applyFill="1" applyBorder="1" applyAlignment="1">
      <alignment horizontal="center"/>
    </xf>
    <xf numFmtId="3" fontId="0" fillId="0" borderId="36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3" fontId="0" fillId="0" borderId="50" xfId="0" applyNumberFormat="1" applyBorder="1" applyAlignment="1">
      <alignment horizontal="right" vertical="center"/>
    </xf>
    <xf numFmtId="3" fontId="0" fillId="0" borderId="55" xfId="0" applyNumberFormat="1" applyBorder="1"/>
    <xf numFmtId="3" fontId="0" fillId="0" borderId="20" xfId="0" applyNumberFormat="1" applyBorder="1"/>
    <xf numFmtId="0" fontId="7" fillId="0" borderId="72" xfId="0" applyFont="1" applyBorder="1" applyAlignment="1">
      <alignment horizontal="center"/>
    </xf>
    <xf numFmtId="0" fontId="7" fillId="0" borderId="73" xfId="0" applyFont="1" applyBorder="1" applyAlignment="1">
      <alignment horizontal="center"/>
    </xf>
    <xf numFmtId="0" fontId="0" fillId="0" borderId="70" xfId="0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0" fillId="0" borderId="72" xfId="0" applyBorder="1"/>
    <xf numFmtId="0" fontId="0" fillId="0" borderId="6" xfId="0" applyBorder="1" applyAlignment="1">
      <alignment horizontal="center"/>
    </xf>
    <xf numFmtId="0" fontId="0" fillId="0" borderId="73" xfId="0" applyBorder="1"/>
    <xf numFmtId="0" fontId="6" fillId="0" borderId="6" xfId="0" applyFont="1" applyBorder="1" applyAlignment="1">
      <alignment horizontal="center" vertical="top"/>
    </xf>
    <xf numFmtId="0" fontId="0" fillId="0" borderId="23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6" fillId="0" borderId="60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3" fontId="4" fillId="17" borderId="19" xfId="0" applyNumberFormat="1" applyFont="1" applyFill="1" applyBorder="1"/>
    <xf numFmtId="3" fontId="4" fillId="18" borderId="19" xfId="0" applyNumberFormat="1" applyFont="1" applyFill="1" applyBorder="1"/>
    <xf numFmtId="3" fontId="4" fillId="19" borderId="19" xfId="0" applyNumberFormat="1" applyFont="1" applyFill="1" applyBorder="1"/>
    <xf numFmtId="3" fontId="4" fillId="20" borderId="19" xfId="0" applyNumberFormat="1" applyFont="1" applyFill="1" applyBorder="1"/>
    <xf numFmtId="3" fontId="4" fillId="20" borderId="25" xfId="0" applyNumberFormat="1" applyFont="1" applyFill="1" applyBorder="1"/>
    <xf numFmtId="0" fontId="3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9" xfId="0" applyFont="1" applyBorder="1" applyAlignment="1" applyProtection="1">
      <alignment horizontal="center"/>
      <protection locked="0"/>
    </xf>
    <xf numFmtId="49" fontId="0" fillId="0" borderId="33" xfId="0" applyNumberFormat="1" applyBorder="1" applyAlignment="1">
      <alignment horizontal="center"/>
    </xf>
    <xf numFmtId="0" fontId="0" fillId="0" borderId="19" xfId="0" applyBorder="1"/>
    <xf numFmtId="3" fontId="0" fillId="0" borderId="19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right" vertical="center"/>
    </xf>
    <xf numFmtId="0" fontId="0" fillId="0" borderId="19" xfId="0" applyBorder="1" applyAlignment="1">
      <alignment vertical="center"/>
    </xf>
    <xf numFmtId="3" fontId="0" fillId="0" borderId="78" xfId="0" applyNumberFormat="1" applyBorder="1" applyAlignment="1">
      <alignment horizontal="right" vertical="center"/>
    </xf>
    <xf numFmtId="3" fontId="0" fillId="0" borderId="79" xfId="0" applyNumberFormat="1" applyBorder="1" applyAlignment="1">
      <alignment vertical="center"/>
    </xf>
    <xf numFmtId="3" fontId="0" fillId="0" borderId="79" xfId="0" applyNumberFormat="1" applyBorder="1" applyAlignment="1">
      <alignment horizontal="center" vertical="center"/>
    </xf>
    <xf numFmtId="3" fontId="0" fillId="0" borderId="80" xfId="0" applyNumberFormat="1" applyBorder="1" applyAlignment="1">
      <alignment vertical="center"/>
    </xf>
    <xf numFmtId="49" fontId="0" fillId="0" borderId="45" xfId="0" applyNumberFormat="1" applyBorder="1" applyAlignment="1">
      <alignment horizontal="right" vertical="center"/>
    </xf>
    <xf numFmtId="3" fontId="4" fillId="21" borderId="19" xfId="0" applyNumberFormat="1" applyFont="1" applyFill="1" applyBorder="1"/>
    <xf numFmtId="3" fontId="4" fillId="0" borderId="82" xfId="0" applyNumberFormat="1" applyFont="1" applyBorder="1"/>
    <xf numFmtId="3" fontId="4" fillId="22" borderId="19" xfId="0" applyNumberFormat="1" applyFont="1" applyFill="1" applyBorder="1"/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75" xfId="0" applyFont="1" applyBorder="1"/>
    <xf numFmtId="0" fontId="7" fillId="0" borderId="6" xfId="0" applyFont="1" applyBorder="1"/>
    <xf numFmtId="0" fontId="3" fillId="0" borderId="19" xfId="0" applyFont="1" applyBorder="1" applyAlignment="1">
      <alignment vertical="center"/>
    </xf>
    <xf numFmtId="0" fontId="0" fillId="0" borderId="70" xfId="0" applyBorder="1" applyAlignment="1">
      <alignment vertical="center"/>
    </xf>
    <xf numFmtId="0" fontId="4" fillId="0" borderId="18" xfId="0" applyFont="1" applyBorder="1" applyProtection="1">
      <protection locked="0"/>
    </xf>
    <xf numFmtId="0" fontId="0" fillId="0" borderId="87" xfId="0" applyBorder="1" applyAlignment="1">
      <alignment vertical="center"/>
    </xf>
    <xf numFmtId="3" fontId="0" fillId="0" borderId="25" xfId="0" applyNumberFormat="1" applyBorder="1" applyAlignment="1">
      <alignment horizontal="center" vertical="center"/>
    </xf>
    <xf numFmtId="3" fontId="0" fillId="0" borderId="88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23" borderId="19" xfId="0" applyNumberFormat="1" applyFont="1" applyFill="1" applyBorder="1"/>
    <xf numFmtId="3" fontId="4" fillId="24" borderId="19" xfId="0" applyNumberFormat="1" applyFont="1" applyFill="1" applyBorder="1"/>
    <xf numFmtId="0" fontId="6" fillId="0" borderId="8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7" fillId="0" borderId="74" xfId="0" applyFont="1" applyBorder="1" applyAlignment="1">
      <alignment vertical="center" textRotation="90"/>
    </xf>
    <xf numFmtId="0" fontId="0" fillId="0" borderId="77" xfId="0" applyBorder="1"/>
    <xf numFmtId="0" fontId="0" fillId="0" borderId="75" xfId="0" applyBorder="1"/>
    <xf numFmtId="0" fontId="7" fillId="0" borderId="73" xfId="0" applyFont="1" applyBorder="1" applyAlignment="1">
      <alignment vertical="center" textRotation="90"/>
    </xf>
    <xf numFmtId="0" fontId="7" fillId="0" borderId="77" xfId="0" applyFont="1" applyBorder="1" applyAlignment="1">
      <alignment vertical="center" textRotation="90"/>
    </xf>
    <xf numFmtId="0" fontId="12" fillId="0" borderId="77" xfId="0" applyFont="1" applyBorder="1"/>
    <xf numFmtId="0" fontId="0" fillId="0" borderId="71" xfId="0" applyBorder="1"/>
    <xf numFmtId="0" fontId="13" fillId="0" borderId="77" xfId="0" applyFont="1" applyBorder="1" applyAlignment="1">
      <alignment vertical="center"/>
    </xf>
    <xf numFmtId="0" fontId="12" fillId="0" borderId="77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2" fillId="0" borderId="73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1" fillId="0" borderId="0" xfId="0" applyFont="1"/>
    <xf numFmtId="0" fontId="18" fillId="0" borderId="71" xfId="1" applyFont="1" applyBorder="1" applyAlignment="1">
      <alignment horizontal="center" vertical="center"/>
    </xf>
    <xf numFmtId="0" fontId="20" fillId="0" borderId="92" xfId="1" applyFont="1" applyBorder="1" applyAlignment="1">
      <alignment horizontal="center" vertical="center"/>
    </xf>
    <xf numFmtId="0" fontId="18" fillId="0" borderId="93" xfId="1" applyFont="1" applyBorder="1" applyAlignment="1">
      <alignment horizontal="center" vertical="center"/>
    </xf>
    <xf numFmtId="49" fontId="20" fillId="0" borderId="93" xfId="1" applyNumberFormat="1" applyFont="1" applyBorder="1" applyAlignment="1">
      <alignment horizontal="center" vertical="center"/>
    </xf>
    <xf numFmtId="0" fontId="20" fillId="0" borderId="93" xfId="1" applyFont="1" applyBorder="1" applyAlignment="1">
      <alignment horizontal="center" vertical="center"/>
    </xf>
    <xf numFmtId="49" fontId="20" fillId="0" borderId="92" xfId="1" applyNumberFormat="1" applyFont="1" applyBorder="1" applyAlignment="1">
      <alignment horizontal="center" vertical="center"/>
    </xf>
    <xf numFmtId="49" fontId="18" fillId="0" borderId="92" xfId="1" applyNumberFormat="1" applyFont="1" applyBorder="1" applyAlignment="1">
      <alignment horizontal="center" vertical="center"/>
    </xf>
    <xf numFmtId="49" fontId="18" fillId="0" borderId="93" xfId="1" applyNumberFormat="1" applyFont="1" applyBorder="1" applyAlignment="1">
      <alignment horizontal="center" vertical="center"/>
    </xf>
    <xf numFmtId="0" fontId="18" fillId="0" borderId="92" xfId="1" applyFont="1" applyBorder="1" applyAlignment="1">
      <alignment horizontal="center" vertical="center"/>
    </xf>
    <xf numFmtId="0" fontId="16" fillId="0" borderId="71" xfId="0" applyFont="1" applyBorder="1"/>
    <xf numFmtId="0" fontId="16" fillId="0" borderId="92" xfId="0" applyFont="1" applyBorder="1"/>
    <xf numFmtId="0" fontId="18" fillId="0" borderId="90" xfId="1" applyFont="1" applyBorder="1" applyAlignment="1">
      <alignment horizontal="left" vertical="center"/>
    </xf>
    <xf numFmtId="0" fontId="19" fillId="0" borderId="23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24" xfId="1" applyFont="1" applyBorder="1" applyAlignment="1">
      <alignment horizontal="left" vertical="center"/>
    </xf>
    <xf numFmtId="0" fontId="18" fillId="0" borderId="24" xfId="1" applyFont="1" applyBorder="1" applyAlignment="1">
      <alignment horizontal="left" vertical="center"/>
    </xf>
    <xf numFmtId="0" fontId="18" fillId="0" borderId="23" xfId="1" applyFont="1" applyBorder="1" applyAlignment="1">
      <alignment horizontal="left" vertical="center"/>
    </xf>
    <xf numFmtId="0" fontId="18" fillId="0" borderId="91" xfId="1" applyFont="1" applyBorder="1" applyAlignment="1">
      <alignment horizontal="left" vertical="center"/>
    </xf>
    <xf numFmtId="0" fontId="19" fillId="0" borderId="82" xfId="1" applyFont="1" applyBorder="1" applyAlignment="1">
      <alignment horizontal="left" vertical="center"/>
    </xf>
    <xf numFmtId="0" fontId="17" fillId="25" borderId="20" xfId="0" applyFont="1" applyFill="1" applyBorder="1" applyAlignment="1">
      <alignment horizontal="center"/>
    </xf>
    <xf numFmtId="0" fontId="17" fillId="26" borderId="34" xfId="0" applyFont="1" applyFill="1" applyBorder="1"/>
    <xf numFmtId="0" fontId="17" fillId="26" borderId="34" xfId="0" applyFont="1" applyFill="1" applyBorder="1" applyAlignment="1">
      <alignment horizontal="left" vertical="center"/>
    </xf>
    <xf numFmtId="0" fontId="16" fillId="0" borderId="74" xfId="0" applyFont="1" applyBorder="1"/>
    <xf numFmtId="0" fontId="16" fillId="0" borderId="6" xfId="0" applyFont="1" applyBorder="1"/>
    <xf numFmtId="0" fontId="1" fillId="0" borderId="70" xfId="0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center"/>
    </xf>
    <xf numFmtId="0" fontId="0" fillId="0" borderId="94" xfId="0" applyBorder="1" applyAlignment="1">
      <alignment horizontal="center"/>
    </xf>
    <xf numFmtId="3" fontId="11" fillId="27" borderId="0" xfId="0" applyNumberFormat="1" applyFont="1" applyFill="1"/>
    <xf numFmtId="0" fontId="4" fillId="0" borderId="95" xfId="0" applyFont="1" applyBorder="1"/>
    <xf numFmtId="0" fontId="4" fillId="0" borderId="96" xfId="0" applyFont="1" applyBorder="1" applyProtection="1">
      <protection locked="0"/>
    </xf>
    <xf numFmtId="3" fontId="11" fillId="28" borderId="0" xfId="0" applyNumberFormat="1" applyFont="1" applyFill="1"/>
    <xf numFmtId="3" fontId="4" fillId="29" borderId="19" xfId="0" applyNumberFormat="1" applyFont="1" applyFill="1" applyBorder="1"/>
    <xf numFmtId="0" fontId="3" fillId="0" borderId="25" xfId="0" applyFont="1" applyBorder="1" applyAlignment="1" applyProtection="1">
      <alignment horizontal="center"/>
      <protection locked="0"/>
    </xf>
    <xf numFmtId="0" fontId="3" fillId="0" borderId="25" xfId="0" applyFont="1" applyBorder="1" applyAlignment="1">
      <alignment horizontal="center" vertical="center"/>
    </xf>
    <xf numFmtId="0" fontId="2" fillId="10" borderId="99" xfId="0" applyFont="1" applyFill="1" applyBorder="1" applyAlignment="1">
      <alignment horizontal="center" vertical="center"/>
    </xf>
    <xf numFmtId="0" fontId="2" fillId="10" borderId="101" xfId="0" applyFont="1" applyFill="1" applyBorder="1" applyAlignment="1">
      <alignment horizontal="center" vertical="center"/>
    </xf>
    <xf numFmtId="0" fontId="3" fillId="0" borderId="97" xfId="0" applyFont="1" applyBorder="1" applyAlignment="1" applyProtection="1">
      <alignment horizontal="center"/>
      <protection locked="0"/>
    </xf>
    <xf numFmtId="0" fontId="3" fillId="0" borderId="97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1" fillId="0" borderId="85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4" fillId="0" borderId="19" xfId="0" applyFont="1" applyBorder="1" applyProtection="1">
      <protection locked="0"/>
    </xf>
    <xf numFmtId="0" fontId="11" fillId="0" borderId="100" xfId="0" applyFont="1" applyBorder="1" applyAlignment="1">
      <alignment horizontal="center" vertical="center"/>
    </xf>
    <xf numFmtId="0" fontId="4" fillId="0" borderId="25" xfId="0" applyFont="1" applyBorder="1" applyProtection="1">
      <protection locked="0"/>
    </xf>
    <xf numFmtId="0" fontId="11" fillId="0" borderId="97" xfId="0" applyFont="1" applyBorder="1" applyAlignment="1">
      <alignment horizontal="center" vertical="center"/>
    </xf>
    <xf numFmtId="0" fontId="4" fillId="0" borderId="97" xfId="0" applyFont="1" applyBorder="1"/>
    <xf numFmtId="0" fontId="4" fillId="0" borderId="97" xfId="0" applyFont="1" applyBorder="1" applyProtection="1">
      <protection locked="0"/>
    </xf>
    <xf numFmtId="0" fontId="0" fillId="0" borderId="25" xfId="0" applyBorder="1"/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2" fillId="0" borderId="38" xfId="0" applyFont="1" applyBorder="1" applyAlignment="1">
      <alignment horizontal="left"/>
    </xf>
    <xf numFmtId="0" fontId="2" fillId="10" borderId="98" xfId="0" applyFont="1" applyFill="1" applyBorder="1" applyAlignment="1">
      <alignment horizontal="center" vertical="center"/>
    </xf>
    <xf numFmtId="0" fontId="2" fillId="10" borderId="6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 textRotation="90"/>
    </xf>
    <xf numFmtId="0" fontId="7" fillId="0" borderId="72" xfId="0" applyFont="1" applyBorder="1" applyAlignment="1">
      <alignment horizontal="center" vertical="center" textRotation="90"/>
    </xf>
    <xf numFmtId="0" fontId="7" fillId="0" borderId="73" xfId="0" applyFont="1" applyBorder="1" applyAlignment="1">
      <alignment horizontal="center" vertical="center" textRotation="90"/>
    </xf>
    <xf numFmtId="0" fontId="7" fillId="0" borderId="74" xfId="0" applyFont="1" applyBorder="1" applyAlignment="1">
      <alignment horizontal="center" vertical="center" textRotation="90"/>
    </xf>
    <xf numFmtId="0" fontId="7" fillId="0" borderId="45" xfId="0" applyFon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6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textRotation="90"/>
    </xf>
    <xf numFmtId="0" fontId="0" fillId="0" borderId="66" xfId="0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0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74" xfId="0" applyBorder="1" applyAlignment="1">
      <alignment horizontal="center"/>
    </xf>
    <xf numFmtId="0" fontId="7" fillId="0" borderId="76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/>
    </xf>
    <xf numFmtId="0" fontId="12" fillId="0" borderId="75" xfId="0" applyFont="1" applyBorder="1" applyAlignment="1">
      <alignment horizontal="center"/>
    </xf>
    <xf numFmtId="0" fontId="12" fillId="0" borderId="76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/>
    </xf>
    <xf numFmtId="0" fontId="0" fillId="0" borderId="72" xfId="0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73" xfId="0" applyBorder="1" applyAlignment="1">
      <alignment horizontal="center"/>
    </xf>
    <xf numFmtId="0" fontId="6" fillId="0" borderId="71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4" fillId="0" borderId="71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</cellXfs>
  <cellStyles count="2">
    <cellStyle name="Normal" xfId="0" builtinId="0" customBuiltin="1"/>
    <cellStyle name="Normal 2" xfId="1" xr:uid="{845E10CB-1EE2-4996-8982-73D9E6E2D9AD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0</xdr:rowOff>
    </xdr:from>
    <xdr:to>
      <xdr:col>6</xdr:col>
      <xdr:colOff>683684</xdr:colOff>
      <xdr:row>1</xdr:row>
      <xdr:rowOff>120287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0"/>
          <a:ext cx="1379009" cy="453662"/>
        </a:xfrm>
        <a:prstGeom prst="rect">
          <a:avLst/>
        </a:prstGeom>
      </xdr:spPr>
    </xdr:pic>
    <xdr:clientData/>
  </xdr:twoCellAnchor>
  <xdr:oneCellAnchor>
    <xdr:from>
      <xdr:col>19</xdr:col>
      <xdr:colOff>438150</xdr:colOff>
      <xdr:row>0</xdr:row>
      <xdr:rowOff>0</xdr:rowOff>
    </xdr:from>
    <xdr:ext cx="1383242" cy="458954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0" y="0"/>
          <a:ext cx="1383242" cy="458954"/>
        </a:xfrm>
        <a:prstGeom prst="rect">
          <a:avLst/>
        </a:prstGeom>
      </xdr:spPr>
    </xdr:pic>
    <xdr:clientData/>
  </xdr:oneCellAnchor>
  <xdr:oneCellAnchor>
    <xdr:from>
      <xdr:col>11</xdr:col>
      <xdr:colOff>419100</xdr:colOff>
      <xdr:row>0</xdr:row>
      <xdr:rowOff>0</xdr:rowOff>
    </xdr:from>
    <xdr:ext cx="1383242" cy="458954"/>
    <xdr:pic>
      <xdr:nvPicPr>
        <xdr:cNvPr id="2" name="Imagem 1">
          <a:extLst>
            <a:ext uri="{FF2B5EF4-FFF2-40B4-BE49-F238E27FC236}">
              <a16:creationId xmlns:a16="http://schemas.microsoft.com/office/drawing/2014/main" id="{8E53E315-E306-488F-AF46-A47445E5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100" y="0"/>
          <a:ext cx="1383242" cy="458954"/>
        </a:xfrm>
        <a:prstGeom prst="rect">
          <a:avLst/>
        </a:prstGeom>
      </xdr:spPr>
    </xdr:pic>
    <xdr:clientData/>
  </xdr:oneCellAnchor>
  <xdr:twoCellAnchor editAs="oneCell">
    <xdr:from>
      <xdr:col>5</xdr:col>
      <xdr:colOff>209550</xdr:colOff>
      <xdr:row>0</xdr:row>
      <xdr:rowOff>0</xdr:rowOff>
    </xdr:from>
    <xdr:to>
      <xdr:col>6</xdr:col>
      <xdr:colOff>683684</xdr:colOff>
      <xdr:row>1</xdr:row>
      <xdr:rowOff>120287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EAB9CC-32F8-4884-BC79-7EDCF330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1570" y="0"/>
          <a:ext cx="1380914" cy="455567"/>
        </a:xfrm>
        <a:prstGeom prst="rect">
          <a:avLst/>
        </a:prstGeom>
      </xdr:spPr>
    </xdr:pic>
    <xdr:clientData/>
  </xdr:twoCellAnchor>
  <xdr:oneCellAnchor>
    <xdr:from>
      <xdr:col>19</xdr:col>
      <xdr:colOff>438150</xdr:colOff>
      <xdr:row>0</xdr:row>
      <xdr:rowOff>0</xdr:rowOff>
    </xdr:from>
    <xdr:ext cx="1383242" cy="458954"/>
    <xdr:pic>
      <xdr:nvPicPr>
        <xdr:cNvPr id="5" name="Imagem 4">
          <a:extLst>
            <a:ext uri="{FF2B5EF4-FFF2-40B4-BE49-F238E27FC236}">
              <a16:creationId xmlns:a16="http://schemas.microsoft.com/office/drawing/2014/main" id="{7473E2DD-F299-47F4-9843-9D70DC0A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4890" y="0"/>
          <a:ext cx="1383242" cy="458954"/>
        </a:xfrm>
        <a:prstGeom prst="rect">
          <a:avLst/>
        </a:prstGeom>
      </xdr:spPr>
    </xdr:pic>
    <xdr:clientData/>
  </xdr:oneCellAnchor>
  <xdr:oneCellAnchor>
    <xdr:from>
      <xdr:col>11</xdr:col>
      <xdr:colOff>419100</xdr:colOff>
      <xdr:row>0</xdr:row>
      <xdr:rowOff>0</xdr:rowOff>
    </xdr:from>
    <xdr:ext cx="1383242" cy="458954"/>
    <xdr:pic>
      <xdr:nvPicPr>
        <xdr:cNvPr id="7" name="Imagem 6">
          <a:extLst>
            <a:ext uri="{FF2B5EF4-FFF2-40B4-BE49-F238E27FC236}">
              <a16:creationId xmlns:a16="http://schemas.microsoft.com/office/drawing/2014/main" id="{F49331E9-CB3B-436A-91B8-6250BB1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6060" y="0"/>
          <a:ext cx="1383242" cy="458954"/>
        </a:xfrm>
        <a:prstGeom prst="rect">
          <a:avLst/>
        </a:prstGeom>
      </xdr:spPr>
    </xdr:pic>
    <xdr:clientData/>
  </xdr:oneCellAnchor>
  <xdr:oneCellAnchor>
    <xdr:from>
      <xdr:col>5</xdr:col>
      <xdr:colOff>424543</xdr:colOff>
      <xdr:row>48</xdr:row>
      <xdr:rowOff>10886</xdr:rowOff>
    </xdr:from>
    <xdr:ext cx="1383242" cy="609600"/>
    <xdr:pic>
      <xdr:nvPicPr>
        <xdr:cNvPr id="8" name="Imagem 7">
          <a:extLst>
            <a:ext uri="{FF2B5EF4-FFF2-40B4-BE49-F238E27FC236}">
              <a16:creationId xmlns:a16="http://schemas.microsoft.com/office/drawing/2014/main" id="{5CE93AAE-0ACD-41FD-A309-F50F71BA5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6563" y="7379426"/>
          <a:ext cx="1383242" cy="609600"/>
        </a:xfrm>
        <a:prstGeom prst="rect">
          <a:avLst/>
        </a:prstGeom>
      </xdr:spPr>
    </xdr:pic>
    <xdr:clientData/>
  </xdr:oneCellAnchor>
  <xdr:oneCellAnchor>
    <xdr:from>
      <xdr:col>11</xdr:col>
      <xdr:colOff>849086</xdr:colOff>
      <xdr:row>48</xdr:row>
      <xdr:rowOff>0</xdr:rowOff>
    </xdr:from>
    <xdr:ext cx="1383242" cy="609600"/>
    <xdr:pic>
      <xdr:nvPicPr>
        <xdr:cNvPr id="9" name="Imagem 8">
          <a:extLst>
            <a:ext uri="{FF2B5EF4-FFF2-40B4-BE49-F238E27FC236}">
              <a16:creationId xmlns:a16="http://schemas.microsoft.com/office/drawing/2014/main" id="{B401E5C8-2483-4078-AA24-020B88262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046" y="7368540"/>
          <a:ext cx="1383242" cy="609600"/>
        </a:xfrm>
        <a:prstGeom prst="rect">
          <a:avLst/>
        </a:prstGeom>
      </xdr:spPr>
    </xdr:pic>
    <xdr:clientData/>
  </xdr:oneCellAnchor>
  <xdr:oneCellAnchor>
    <xdr:from>
      <xdr:col>19</xdr:col>
      <xdr:colOff>413657</xdr:colOff>
      <xdr:row>47</xdr:row>
      <xdr:rowOff>174171</xdr:rowOff>
    </xdr:from>
    <xdr:ext cx="1383242" cy="609600"/>
    <xdr:pic>
      <xdr:nvPicPr>
        <xdr:cNvPr id="10" name="Imagem 9">
          <a:extLst>
            <a:ext uri="{FF2B5EF4-FFF2-40B4-BE49-F238E27FC236}">
              <a16:creationId xmlns:a16="http://schemas.microsoft.com/office/drawing/2014/main" id="{3A8B89DD-B611-47EB-95DB-88586708D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0397" y="7352211"/>
          <a:ext cx="1383242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8E5B1-2AA5-4272-94FA-08AF886E664A}" name="Tabela3" displayName="Tabela3" ref="A2:C110" totalsRowShown="0" headerRowDxfId="5" headerRowBorderDxfId="4" tableBorderDxfId="3">
  <autoFilter ref="A2:C110" xr:uid="{D908E5B1-2AA5-4272-94FA-08AF886E664A}"/>
  <sortState xmlns:xlrd2="http://schemas.microsoft.com/office/spreadsheetml/2017/richdata2" ref="A3:C110">
    <sortCondition ref="A2:A110"/>
  </sortState>
  <tableColumns count="3">
    <tableColumn id="1" xr3:uid="{A960FB33-9A89-4EC7-A048-E422B488FECC}" name="Código" dataDxfId="2"/>
    <tableColumn id="2" xr3:uid="{6157F01E-D99F-4AB0-97D4-33BA678591E7}" name="MOTOR" dataDxfId="1"/>
    <tableColumn id="3" xr3:uid="{8A1D7BF7-41A3-4E82-9C91-941626EE3D98}" name="Q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2"/>
  <sheetViews>
    <sheetView tabSelected="1" workbookViewId="0">
      <pane ySplit="1" topLeftCell="A2" activePane="bottomLeft" state="frozen"/>
      <selection pane="bottomLeft" activeCell="E195" sqref="E195"/>
    </sheetView>
  </sheetViews>
  <sheetFormatPr defaultColWidth="51.109375" defaultRowHeight="14.4" x14ac:dyDescent="0.3"/>
  <cols>
    <col min="1" max="1" width="15.109375" customWidth="1"/>
    <col min="2" max="2" width="12.33203125" customWidth="1"/>
    <col min="3" max="3" width="13.33203125" customWidth="1"/>
    <col min="4" max="4" width="59.5546875" hidden="1" customWidth="1"/>
    <col min="5" max="5" width="31.109375" customWidth="1"/>
    <col min="6" max="6" width="15" customWidth="1"/>
    <col min="7" max="7" width="13.6640625" customWidth="1"/>
    <col min="8" max="8" width="15.88671875" customWidth="1"/>
    <col min="9" max="9" width="13.6640625" customWidth="1"/>
    <col min="10" max="10" width="26.5546875" customWidth="1"/>
  </cols>
  <sheetData>
    <row r="1" spans="1: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</row>
    <row r="2" spans="1:9" x14ac:dyDescent="0.3">
      <c r="A2" s="23" t="s">
        <v>6</v>
      </c>
      <c r="B2" s="29">
        <v>1</v>
      </c>
      <c r="C2" s="135">
        <v>100001</v>
      </c>
      <c r="D2" s="21" t="s">
        <v>64</v>
      </c>
      <c r="E2" s="26" t="s">
        <v>34</v>
      </c>
      <c r="F2" s="7">
        <v>0</v>
      </c>
    </row>
    <row r="3" spans="1:9" x14ac:dyDescent="0.3">
      <c r="A3" s="23" t="s">
        <v>6</v>
      </c>
      <c r="B3" s="29">
        <v>1</v>
      </c>
      <c r="C3" s="135">
        <v>100002</v>
      </c>
      <c r="D3" s="21" t="s">
        <v>65</v>
      </c>
      <c r="E3" s="26" t="s">
        <v>35</v>
      </c>
      <c r="F3" s="7">
        <v>0</v>
      </c>
    </row>
    <row r="4" spans="1:9" x14ac:dyDescent="0.3">
      <c r="A4" s="23" t="s">
        <v>6</v>
      </c>
      <c r="B4" s="29">
        <v>1</v>
      </c>
      <c r="C4" s="135">
        <v>100003</v>
      </c>
      <c r="D4" s="21" t="s">
        <v>66</v>
      </c>
      <c r="E4" s="26" t="s">
        <v>36</v>
      </c>
      <c r="F4" s="7">
        <v>0</v>
      </c>
    </row>
    <row r="5" spans="1:9" x14ac:dyDescent="0.3">
      <c r="A5" s="23" t="s">
        <v>6</v>
      </c>
      <c r="B5" s="29">
        <v>1</v>
      </c>
      <c r="C5" s="135">
        <v>100004</v>
      </c>
      <c r="D5" s="21" t="s">
        <v>67</v>
      </c>
      <c r="E5" s="26" t="s">
        <v>37</v>
      </c>
      <c r="F5" s="7">
        <v>0</v>
      </c>
    </row>
    <row r="6" spans="1:9" x14ac:dyDescent="0.3">
      <c r="A6" s="23" t="s">
        <v>6</v>
      </c>
      <c r="B6" s="29">
        <v>1</v>
      </c>
      <c r="C6" s="135">
        <v>100005</v>
      </c>
      <c r="D6" s="22" t="s">
        <v>68</v>
      </c>
      <c r="E6" s="26" t="s">
        <v>38</v>
      </c>
      <c r="F6" s="7">
        <v>0</v>
      </c>
    </row>
    <row r="7" spans="1:9" x14ac:dyDescent="0.3">
      <c r="A7" s="23" t="s">
        <v>6</v>
      </c>
      <c r="B7" s="29">
        <v>1</v>
      </c>
      <c r="C7" s="135">
        <v>100006</v>
      </c>
      <c r="D7" s="21" t="s">
        <v>69</v>
      </c>
      <c r="E7" s="26" t="s">
        <v>39</v>
      </c>
      <c r="F7" s="7">
        <v>0</v>
      </c>
    </row>
    <row r="8" spans="1:9" x14ac:dyDescent="0.3">
      <c r="A8" s="23" t="s">
        <v>6</v>
      </c>
      <c r="B8" s="29">
        <v>1</v>
      </c>
      <c r="C8" s="135">
        <v>100007</v>
      </c>
      <c r="D8" s="22" t="s">
        <v>70</v>
      </c>
      <c r="E8" s="26" t="s">
        <v>40</v>
      </c>
      <c r="F8" s="7">
        <v>0</v>
      </c>
    </row>
    <row r="9" spans="1:9" x14ac:dyDescent="0.3">
      <c r="A9" s="23" t="s">
        <v>6</v>
      </c>
      <c r="B9" s="29">
        <v>1</v>
      </c>
      <c r="C9" s="135">
        <v>100008</v>
      </c>
      <c r="D9" s="21" t="s">
        <v>71</v>
      </c>
      <c r="E9" s="26" t="s">
        <v>41</v>
      </c>
      <c r="F9" s="7">
        <v>0</v>
      </c>
    </row>
    <row r="10" spans="1:9" x14ac:dyDescent="0.3">
      <c r="A10" s="23" t="s">
        <v>6</v>
      </c>
      <c r="B10" s="29">
        <v>1</v>
      </c>
      <c r="C10" s="135">
        <v>100009</v>
      </c>
      <c r="D10" s="21" t="s">
        <v>72</v>
      </c>
      <c r="E10" s="26" t="s">
        <v>42</v>
      </c>
      <c r="F10" s="7">
        <v>0</v>
      </c>
    </row>
    <row r="11" spans="1:9" x14ac:dyDescent="0.3">
      <c r="A11" s="23" t="s">
        <v>6</v>
      </c>
      <c r="B11" s="29">
        <v>1</v>
      </c>
      <c r="C11" s="135">
        <v>100010</v>
      </c>
      <c r="D11" s="21"/>
      <c r="E11" s="26" t="s">
        <v>394</v>
      </c>
      <c r="F11" s="7">
        <v>0</v>
      </c>
    </row>
    <row r="12" spans="1:9" x14ac:dyDescent="0.3">
      <c r="A12" s="23" t="s">
        <v>680</v>
      </c>
      <c r="B12" s="29">
        <v>1</v>
      </c>
      <c r="C12" s="135">
        <v>100011</v>
      </c>
      <c r="D12" s="21"/>
      <c r="E12" s="26" t="s">
        <v>673</v>
      </c>
      <c r="F12" s="7">
        <v>0</v>
      </c>
    </row>
    <row r="13" spans="1:9" x14ac:dyDescent="0.3">
      <c r="A13" s="23" t="s">
        <v>6</v>
      </c>
      <c r="B13" s="29">
        <v>2</v>
      </c>
      <c r="C13" s="25">
        <v>101001</v>
      </c>
      <c r="D13" s="21" t="s">
        <v>73</v>
      </c>
      <c r="E13" s="26" t="s">
        <v>43</v>
      </c>
      <c r="F13" s="7">
        <v>0</v>
      </c>
    </row>
    <row r="14" spans="1:9" x14ac:dyDescent="0.3">
      <c r="A14" s="23" t="s">
        <v>6</v>
      </c>
      <c r="B14" s="29">
        <v>2</v>
      </c>
      <c r="C14" s="25">
        <v>101002</v>
      </c>
      <c r="D14" s="21" t="s">
        <v>74</v>
      </c>
      <c r="E14" s="26" t="s">
        <v>44</v>
      </c>
      <c r="F14" s="7">
        <v>0</v>
      </c>
    </row>
    <row r="15" spans="1:9" x14ac:dyDescent="0.3">
      <c r="A15" s="23" t="s">
        <v>6</v>
      </c>
      <c r="B15" s="29">
        <v>2</v>
      </c>
      <c r="C15" s="25">
        <v>101003</v>
      </c>
      <c r="D15" s="21" t="s">
        <v>75</v>
      </c>
      <c r="E15" s="26" t="s">
        <v>45</v>
      </c>
      <c r="F15" s="7">
        <v>0</v>
      </c>
    </row>
    <row r="16" spans="1:9" x14ac:dyDescent="0.3">
      <c r="A16" s="23" t="s">
        <v>6</v>
      </c>
      <c r="B16" s="29">
        <v>2</v>
      </c>
      <c r="C16" s="25">
        <v>101007</v>
      </c>
      <c r="D16" s="22" t="s">
        <v>76</v>
      </c>
      <c r="E16" s="26" t="s">
        <v>46</v>
      </c>
      <c r="F16" s="7">
        <v>0</v>
      </c>
    </row>
    <row r="17" spans="1:6" x14ac:dyDescent="0.3">
      <c r="A17" s="23" t="s">
        <v>6</v>
      </c>
      <c r="B17" s="29">
        <v>2</v>
      </c>
      <c r="C17" s="25">
        <v>101008</v>
      </c>
      <c r="D17" s="21" t="s">
        <v>77</v>
      </c>
      <c r="E17" s="26" t="s">
        <v>47</v>
      </c>
      <c r="F17" s="7">
        <v>0</v>
      </c>
    </row>
    <row r="18" spans="1:6" x14ac:dyDescent="0.3">
      <c r="A18" s="23" t="s">
        <v>6</v>
      </c>
      <c r="B18" s="29">
        <v>2</v>
      </c>
      <c r="C18" s="25">
        <v>101009</v>
      </c>
      <c r="D18" s="21" t="s">
        <v>78</v>
      </c>
      <c r="E18" s="26" t="s">
        <v>48</v>
      </c>
      <c r="F18" s="7">
        <v>0</v>
      </c>
    </row>
    <row r="19" spans="1:6" x14ac:dyDescent="0.3">
      <c r="A19" s="23" t="s">
        <v>6</v>
      </c>
      <c r="B19" s="29">
        <v>2</v>
      </c>
      <c r="C19" s="25">
        <v>101010</v>
      </c>
      <c r="D19" s="21"/>
      <c r="E19" s="26" t="s">
        <v>395</v>
      </c>
      <c r="F19" s="7">
        <v>0</v>
      </c>
    </row>
    <row r="20" spans="1:6" x14ac:dyDescent="0.3">
      <c r="A20" s="23" t="s">
        <v>8</v>
      </c>
      <c r="B20" s="26">
        <v>2</v>
      </c>
      <c r="C20" s="138">
        <v>102001</v>
      </c>
      <c r="D20" s="21" t="s">
        <v>210</v>
      </c>
      <c r="E20" s="26" t="s">
        <v>190</v>
      </c>
      <c r="F20" s="7">
        <v>0</v>
      </c>
    </row>
    <row r="21" spans="1:6" x14ac:dyDescent="0.3">
      <c r="A21" s="23" t="s">
        <v>8</v>
      </c>
      <c r="B21" s="26">
        <v>2</v>
      </c>
      <c r="C21" s="138">
        <v>102002</v>
      </c>
      <c r="D21" s="21" t="s">
        <v>211</v>
      </c>
      <c r="E21" s="26" t="s">
        <v>191</v>
      </c>
      <c r="F21" s="7">
        <v>0</v>
      </c>
    </row>
    <row r="22" spans="1:6" x14ac:dyDescent="0.3">
      <c r="A22" s="23" t="s">
        <v>8</v>
      </c>
      <c r="B22" s="26">
        <v>2</v>
      </c>
      <c r="C22" s="138">
        <v>102003</v>
      </c>
      <c r="D22" s="21" t="s">
        <v>212</v>
      </c>
      <c r="E22" s="26" t="s">
        <v>192</v>
      </c>
      <c r="F22" s="7">
        <v>0</v>
      </c>
    </row>
    <row r="23" spans="1:6" x14ac:dyDescent="0.3">
      <c r="A23" s="23" t="s">
        <v>8</v>
      </c>
      <c r="B23" s="26">
        <v>2</v>
      </c>
      <c r="C23" s="138">
        <v>102007</v>
      </c>
      <c r="D23" s="21" t="s">
        <v>213</v>
      </c>
      <c r="E23" s="26" t="s">
        <v>193</v>
      </c>
      <c r="F23" s="7">
        <v>0</v>
      </c>
    </row>
    <row r="24" spans="1:6" x14ac:dyDescent="0.3">
      <c r="A24" s="23" t="s">
        <v>8</v>
      </c>
      <c r="B24" s="26">
        <v>2</v>
      </c>
      <c r="C24" s="138">
        <v>102008</v>
      </c>
      <c r="D24" s="21" t="s">
        <v>214</v>
      </c>
      <c r="E24" s="26" t="s">
        <v>194</v>
      </c>
      <c r="F24" s="7">
        <v>0</v>
      </c>
    </row>
    <row r="25" spans="1:6" x14ac:dyDescent="0.3">
      <c r="A25" s="23" t="s">
        <v>8</v>
      </c>
      <c r="B25" s="26">
        <v>2</v>
      </c>
      <c r="C25" s="138">
        <v>102009</v>
      </c>
      <c r="D25" s="21" t="s">
        <v>215</v>
      </c>
      <c r="E25" s="26" t="s">
        <v>195</v>
      </c>
      <c r="F25" s="7">
        <v>0</v>
      </c>
    </row>
    <row r="26" spans="1:6" x14ac:dyDescent="0.3">
      <c r="A26" s="23" t="s">
        <v>8</v>
      </c>
      <c r="B26" s="26">
        <v>2</v>
      </c>
      <c r="C26" s="138">
        <v>102010</v>
      </c>
      <c r="D26" s="21"/>
      <c r="E26" s="26" t="s">
        <v>396</v>
      </c>
      <c r="F26" s="7">
        <v>0</v>
      </c>
    </row>
    <row r="27" spans="1:6" x14ac:dyDescent="0.3">
      <c r="A27" s="23" t="s">
        <v>6</v>
      </c>
      <c r="B27" s="29">
        <v>3</v>
      </c>
      <c r="C27" s="25">
        <v>103001</v>
      </c>
      <c r="D27" s="21" t="s">
        <v>79</v>
      </c>
      <c r="E27" s="26" t="s">
        <v>49</v>
      </c>
      <c r="F27" s="7">
        <v>0</v>
      </c>
    </row>
    <row r="28" spans="1:6" x14ac:dyDescent="0.3">
      <c r="A28" s="23" t="s">
        <v>6</v>
      </c>
      <c r="B28" s="29">
        <v>3</v>
      </c>
      <c r="C28" s="25">
        <v>103002</v>
      </c>
      <c r="D28" s="21" t="s">
        <v>80</v>
      </c>
      <c r="E28" s="26" t="s">
        <v>50</v>
      </c>
      <c r="F28" s="7">
        <v>0</v>
      </c>
    </row>
    <row r="29" spans="1:6" x14ac:dyDescent="0.3">
      <c r="A29" s="23" t="s">
        <v>6</v>
      </c>
      <c r="B29" s="29">
        <v>3</v>
      </c>
      <c r="C29" s="25">
        <v>103003</v>
      </c>
      <c r="D29" s="21" t="s">
        <v>81</v>
      </c>
      <c r="E29" s="26" t="s">
        <v>51</v>
      </c>
      <c r="F29" s="7">
        <v>0</v>
      </c>
    </row>
    <row r="30" spans="1:6" x14ac:dyDescent="0.3">
      <c r="A30" s="23" t="s">
        <v>6</v>
      </c>
      <c r="B30" s="29">
        <v>3</v>
      </c>
      <c r="C30" s="25">
        <v>103004</v>
      </c>
      <c r="D30" s="21" t="s">
        <v>82</v>
      </c>
      <c r="E30" s="26" t="s">
        <v>52</v>
      </c>
      <c r="F30" s="7">
        <v>0</v>
      </c>
    </row>
    <row r="31" spans="1:6" x14ac:dyDescent="0.3">
      <c r="A31" s="23" t="s">
        <v>6</v>
      </c>
      <c r="B31" s="29">
        <v>3</v>
      </c>
      <c r="C31" s="25">
        <v>103005</v>
      </c>
      <c r="D31" s="22" t="s">
        <v>83</v>
      </c>
      <c r="E31" s="26" t="s">
        <v>53</v>
      </c>
      <c r="F31" s="7">
        <v>0</v>
      </c>
    </row>
    <row r="32" spans="1:6" x14ac:dyDescent="0.3">
      <c r="A32" s="23" t="s">
        <v>6</v>
      </c>
      <c r="B32" s="29">
        <v>3</v>
      </c>
      <c r="C32" s="25">
        <v>103006</v>
      </c>
      <c r="D32" s="21" t="s">
        <v>84</v>
      </c>
      <c r="E32" s="26" t="s">
        <v>54</v>
      </c>
      <c r="F32" s="7">
        <v>0</v>
      </c>
    </row>
    <row r="33" spans="1:6" x14ac:dyDescent="0.3">
      <c r="A33" s="23" t="s">
        <v>6</v>
      </c>
      <c r="B33" s="29">
        <v>3</v>
      </c>
      <c r="C33" s="25">
        <v>103007</v>
      </c>
      <c r="D33" s="22" t="s">
        <v>85</v>
      </c>
      <c r="E33" s="26" t="s">
        <v>55</v>
      </c>
      <c r="F33" s="7">
        <v>0</v>
      </c>
    </row>
    <row r="34" spans="1:6" x14ac:dyDescent="0.3">
      <c r="A34" s="23" t="s">
        <v>6</v>
      </c>
      <c r="B34" s="29">
        <v>3</v>
      </c>
      <c r="C34" s="25">
        <v>103008</v>
      </c>
      <c r="D34" s="21" t="s">
        <v>86</v>
      </c>
      <c r="E34" s="26" t="s">
        <v>56</v>
      </c>
      <c r="F34" s="7">
        <v>0</v>
      </c>
    </row>
    <row r="35" spans="1:6" x14ac:dyDescent="0.3">
      <c r="A35" s="23" t="s">
        <v>6</v>
      </c>
      <c r="B35" s="29">
        <v>3</v>
      </c>
      <c r="C35" s="25">
        <v>103009</v>
      </c>
      <c r="D35" s="21" t="s">
        <v>87</v>
      </c>
      <c r="E35" s="26" t="s">
        <v>57</v>
      </c>
      <c r="F35" s="7">
        <v>0</v>
      </c>
    </row>
    <row r="36" spans="1:6" x14ac:dyDescent="0.3">
      <c r="A36" s="23" t="s">
        <v>6</v>
      </c>
      <c r="B36" s="29">
        <v>3</v>
      </c>
      <c r="C36" s="25">
        <v>103010</v>
      </c>
      <c r="D36" s="21"/>
      <c r="E36" s="26" t="s">
        <v>397</v>
      </c>
      <c r="F36" s="7">
        <v>0</v>
      </c>
    </row>
    <row r="37" spans="1:6" x14ac:dyDescent="0.3">
      <c r="A37" s="23" t="s">
        <v>680</v>
      </c>
      <c r="B37" s="29">
        <v>3</v>
      </c>
      <c r="C37" s="25">
        <v>103011</v>
      </c>
      <c r="D37" s="21"/>
      <c r="E37" s="26" t="s">
        <v>674</v>
      </c>
      <c r="F37" s="7">
        <v>0</v>
      </c>
    </row>
    <row r="38" spans="1:6" x14ac:dyDescent="0.3">
      <c r="A38" s="23" t="s">
        <v>8</v>
      </c>
      <c r="B38" s="26">
        <v>3</v>
      </c>
      <c r="C38" s="138">
        <v>104001</v>
      </c>
      <c r="D38" s="21" t="s">
        <v>216</v>
      </c>
      <c r="E38" s="26" t="s">
        <v>196</v>
      </c>
      <c r="F38" s="7">
        <v>0</v>
      </c>
    </row>
    <row r="39" spans="1:6" x14ac:dyDescent="0.3">
      <c r="A39" s="23" t="s">
        <v>8</v>
      </c>
      <c r="B39" s="26">
        <v>3</v>
      </c>
      <c r="C39" s="138">
        <v>104002</v>
      </c>
      <c r="D39" s="21" t="s">
        <v>217</v>
      </c>
      <c r="E39" s="26" t="s">
        <v>197</v>
      </c>
      <c r="F39" s="7">
        <v>0</v>
      </c>
    </row>
    <row r="40" spans="1:6" x14ac:dyDescent="0.3">
      <c r="A40" s="23" t="s">
        <v>8</v>
      </c>
      <c r="B40" s="26">
        <v>3</v>
      </c>
      <c r="C40" s="138">
        <v>104003</v>
      </c>
      <c r="D40" s="21" t="s">
        <v>218</v>
      </c>
      <c r="E40" s="26" t="s">
        <v>198</v>
      </c>
      <c r="F40" s="7">
        <v>0</v>
      </c>
    </row>
    <row r="41" spans="1:6" x14ac:dyDescent="0.3">
      <c r="A41" s="23" t="s">
        <v>8</v>
      </c>
      <c r="B41" s="26">
        <v>3</v>
      </c>
      <c r="C41" s="138">
        <v>104004</v>
      </c>
      <c r="D41" s="21" t="s">
        <v>219</v>
      </c>
      <c r="E41" s="26" t="s">
        <v>199</v>
      </c>
      <c r="F41" s="7">
        <v>0</v>
      </c>
    </row>
    <row r="42" spans="1:6" x14ac:dyDescent="0.3">
      <c r="A42" s="23" t="s">
        <v>8</v>
      </c>
      <c r="B42" s="26">
        <v>3</v>
      </c>
      <c r="C42" s="138">
        <v>104006</v>
      </c>
      <c r="D42" s="21" t="s">
        <v>220</v>
      </c>
      <c r="E42" s="26" t="s">
        <v>200</v>
      </c>
      <c r="F42" s="7">
        <v>0</v>
      </c>
    </row>
    <row r="43" spans="1:6" x14ac:dyDescent="0.3">
      <c r="A43" s="23" t="s">
        <v>8</v>
      </c>
      <c r="B43" s="26">
        <v>3</v>
      </c>
      <c r="C43" s="138">
        <v>104007</v>
      </c>
      <c r="D43" s="21" t="s">
        <v>221</v>
      </c>
      <c r="E43" s="26" t="s">
        <v>201</v>
      </c>
      <c r="F43" s="7">
        <v>0</v>
      </c>
    </row>
    <row r="44" spans="1:6" x14ac:dyDescent="0.3">
      <c r="A44" s="23" t="s">
        <v>8</v>
      </c>
      <c r="B44" s="26">
        <v>3</v>
      </c>
      <c r="C44" s="138">
        <v>104008</v>
      </c>
      <c r="D44" s="21" t="s">
        <v>222</v>
      </c>
      <c r="E44" s="26" t="s">
        <v>202</v>
      </c>
      <c r="F44" s="7">
        <v>0</v>
      </c>
    </row>
    <row r="45" spans="1:6" x14ac:dyDescent="0.3">
      <c r="A45" s="23" t="s">
        <v>8</v>
      </c>
      <c r="B45" s="26">
        <v>3</v>
      </c>
      <c r="C45" s="138">
        <v>104009</v>
      </c>
      <c r="D45" s="21" t="s">
        <v>223</v>
      </c>
      <c r="E45" s="26" t="s">
        <v>203</v>
      </c>
      <c r="F45" s="7">
        <v>0</v>
      </c>
    </row>
    <row r="46" spans="1:6" x14ac:dyDescent="0.3">
      <c r="A46" s="23" t="s">
        <v>8</v>
      </c>
      <c r="B46" s="26">
        <v>3</v>
      </c>
      <c r="C46" s="138">
        <v>104010</v>
      </c>
      <c r="D46" s="21"/>
      <c r="E46" s="26" t="s">
        <v>398</v>
      </c>
      <c r="F46" s="7">
        <v>0</v>
      </c>
    </row>
    <row r="47" spans="1:6" x14ac:dyDescent="0.3">
      <c r="A47" s="23" t="s">
        <v>6</v>
      </c>
      <c r="B47" s="29">
        <v>4</v>
      </c>
      <c r="C47" s="25">
        <v>105001</v>
      </c>
      <c r="D47" s="21" t="s">
        <v>88</v>
      </c>
      <c r="E47" s="26" t="s">
        <v>58</v>
      </c>
      <c r="F47" s="7">
        <v>0</v>
      </c>
    </row>
    <row r="48" spans="1:6" x14ac:dyDescent="0.3">
      <c r="A48" s="23" t="s">
        <v>6</v>
      </c>
      <c r="B48" s="29">
        <v>4</v>
      </c>
      <c r="C48" s="25">
        <v>105002</v>
      </c>
      <c r="D48" s="21" t="s">
        <v>89</v>
      </c>
      <c r="E48" s="26" t="s">
        <v>59</v>
      </c>
      <c r="F48" s="7">
        <v>0</v>
      </c>
    </row>
    <row r="49" spans="1:6" x14ac:dyDescent="0.3">
      <c r="A49" s="23" t="s">
        <v>6</v>
      </c>
      <c r="B49" s="29">
        <v>4</v>
      </c>
      <c r="C49" s="25">
        <v>105003</v>
      </c>
      <c r="D49" s="21" t="s">
        <v>90</v>
      </c>
      <c r="E49" s="26" t="s">
        <v>60</v>
      </c>
      <c r="F49" s="7">
        <v>0</v>
      </c>
    </row>
    <row r="50" spans="1:6" x14ac:dyDescent="0.3">
      <c r="A50" s="23" t="s">
        <v>6</v>
      </c>
      <c r="B50" s="29">
        <v>4</v>
      </c>
      <c r="C50" s="25">
        <v>105007</v>
      </c>
      <c r="D50" s="22" t="s">
        <v>91</v>
      </c>
      <c r="E50" s="26" t="s">
        <v>61</v>
      </c>
      <c r="F50" s="7">
        <v>0</v>
      </c>
    </row>
    <row r="51" spans="1:6" x14ac:dyDescent="0.3">
      <c r="A51" s="23" t="s">
        <v>6</v>
      </c>
      <c r="B51" s="29">
        <v>4</v>
      </c>
      <c r="C51" s="25">
        <v>105008</v>
      </c>
      <c r="D51" s="21" t="s">
        <v>92</v>
      </c>
      <c r="E51" s="26" t="s">
        <v>62</v>
      </c>
      <c r="F51" s="7">
        <v>0</v>
      </c>
    </row>
    <row r="52" spans="1:6" x14ac:dyDescent="0.3">
      <c r="A52" s="23" t="s">
        <v>6</v>
      </c>
      <c r="B52" s="29">
        <v>4</v>
      </c>
      <c r="C52" s="25">
        <v>105009</v>
      </c>
      <c r="D52" s="21" t="s">
        <v>93</v>
      </c>
      <c r="E52" s="26" t="s">
        <v>63</v>
      </c>
      <c r="F52" s="7">
        <v>0</v>
      </c>
    </row>
    <row r="53" spans="1:6" x14ac:dyDescent="0.3">
      <c r="A53" s="23" t="s">
        <v>6</v>
      </c>
      <c r="B53" s="29">
        <v>4</v>
      </c>
      <c r="C53" s="25">
        <v>105010</v>
      </c>
      <c r="D53" s="21"/>
      <c r="E53" s="26" t="s">
        <v>399</v>
      </c>
      <c r="F53" s="7">
        <v>0</v>
      </c>
    </row>
    <row r="54" spans="1:6" x14ac:dyDescent="0.3">
      <c r="A54" s="23" t="s">
        <v>8</v>
      </c>
      <c r="B54" s="26">
        <v>4</v>
      </c>
      <c r="C54" s="138">
        <v>106001</v>
      </c>
      <c r="D54" s="21" t="s">
        <v>224</v>
      </c>
      <c r="E54" s="26" t="s">
        <v>204</v>
      </c>
      <c r="F54" s="7">
        <v>0</v>
      </c>
    </row>
    <row r="55" spans="1:6" x14ac:dyDescent="0.3">
      <c r="A55" s="23" t="s">
        <v>8</v>
      </c>
      <c r="B55" s="26">
        <v>4</v>
      </c>
      <c r="C55" s="138">
        <v>106002</v>
      </c>
      <c r="D55" s="21" t="s">
        <v>225</v>
      </c>
      <c r="E55" s="26" t="s">
        <v>205</v>
      </c>
      <c r="F55" s="7">
        <v>0</v>
      </c>
    </row>
    <row r="56" spans="1:6" x14ac:dyDescent="0.3">
      <c r="A56" s="23" t="s">
        <v>8</v>
      </c>
      <c r="B56" s="26">
        <v>4</v>
      </c>
      <c r="C56" s="138">
        <v>106003</v>
      </c>
      <c r="D56" s="21" t="s">
        <v>226</v>
      </c>
      <c r="E56" s="26" t="s">
        <v>206</v>
      </c>
      <c r="F56" s="7">
        <v>0</v>
      </c>
    </row>
    <row r="57" spans="1:6" x14ac:dyDescent="0.3">
      <c r="A57" s="23" t="s">
        <v>8</v>
      </c>
      <c r="B57" s="26">
        <v>4</v>
      </c>
      <c r="C57" s="138">
        <v>106007</v>
      </c>
      <c r="D57" s="21" t="s">
        <v>227</v>
      </c>
      <c r="E57" s="26" t="s">
        <v>207</v>
      </c>
      <c r="F57" s="7">
        <v>0</v>
      </c>
    </row>
    <row r="58" spans="1:6" x14ac:dyDescent="0.3">
      <c r="A58" s="23" t="s">
        <v>8</v>
      </c>
      <c r="B58" s="26">
        <v>4</v>
      </c>
      <c r="C58" s="138">
        <v>106008</v>
      </c>
      <c r="D58" s="21" t="s">
        <v>228</v>
      </c>
      <c r="E58" s="26" t="s">
        <v>208</v>
      </c>
      <c r="F58" s="7">
        <v>0</v>
      </c>
    </row>
    <row r="59" spans="1:6" x14ac:dyDescent="0.3">
      <c r="A59" s="31" t="s">
        <v>8</v>
      </c>
      <c r="B59" s="32">
        <v>4</v>
      </c>
      <c r="C59" s="139">
        <v>106009</v>
      </c>
      <c r="D59" s="33" t="s">
        <v>229</v>
      </c>
      <c r="E59" s="32" t="s">
        <v>209</v>
      </c>
      <c r="F59" s="7">
        <v>0</v>
      </c>
    </row>
    <row r="60" spans="1:6" x14ac:dyDescent="0.3">
      <c r="A60" s="31" t="s">
        <v>8</v>
      </c>
      <c r="B60" s="32">
        <v>4</v>
      </c>
      <c r="C60" s="139">
        <v>106010</v>
      </c>
      <c r="D60" s="33"/>
      <c r="E60" s="32" t="s">
        <v>400</v>
      </c>
      <c r="F60" s="7">
        <v>0</v>
      </c>
    </row>
    <row r="61" spans="1:6" x14ac:dyDescent="0.3">
      <c r="A61" s="23" t="s">
        <v>437</v>
      </c>
      <c r="B61" s="32">
        <v>1</v>
      </c>
      <c r="C61" s="153">
        <v>107003</v>
      </c>
      <c r="D61" s="33"/>
      <c r="E61" s="32" t="s">
        <v>448</v>
      </c>
      <c r="F61" s="7">
        <v>0</v>
      </c>
    </row>
    <row r="62" spans="1:6" x14ac:dyDescent="0.3">
      <c r="A62" s="23" t="s">
        <v>437</v>
      </c>
      <c r="B62" s="32">
        <v>1</v>
      </c>
      <c r="C62" s="153">
        <v>107004</v>
      </c>
      <c r="D62" s="33"/>
      <c r="E62" s="32" t="s">
        <v>449</v>
      </c>
      <c r="F62" s="7">
        <v>0</v>
      </c>
    </row>
    <row r="63" spans="1:6" x14ac:dyDescent="0.3">
      <c r="A63" s="23" t="s">
        <v>437</v>
      </c>
      <c r="B63" s="32">
        <v>1</v>
      </c>
      <c r="C63" s="153">
        <v>107007</v>
      </c>
      <c r="D63" s="33"/>
      <c r="E63" s="32" t="s">
        <v>450</v>
      </c>
      <c r="F63" s="7">
        <v>0</v>
      </c>
    </row>
    <row r="64" spans="1:6" x14ac:dyDescent="0.3">
      <c r="A64" s="23" t="s">
        <v>437</v>
      </c>
      <c r="B64" s="32">
        <v>1</v>
      </c>
      <c r="C64" s="153">
        <v>107008</v>
      </c>
      <c r="D64" s="33"/>
      <c r="E64" s="32" t="s">
        <v>451</v>
      </c>
      <c r="F64" s="7">
        <v>0</v>
      </c>
    </row>
    <row r="65" spans="1:6" x14ac:dyDescent="0.3">
      <c r="A65" s="23" t="s">
        <v>437</v>
      </c>
      <c r="B65" s="29">
        <v>1</v>
      </c>
      <c r="C65" s="153">
        <v>107009</v>
      </c>
      <c r="D65" s="21" t="s">
        <v>64</v>
      </c>
      <c r="E65" s="26" t="s">
        <v>446</v>
      </c>
      <c r="F65" s="7">
        <v>0</v>
      </c>
    </row>
    <row r="66" spans="1:6" x14ac:dyDescent="0.3">
      <c r="A66" s="23" t="s">
        <v>437</v>
      </c>
      <c r="B66" s="29">
        <v>1</v>
      </c>
      <c r="C66" s="155">
        <v>108009</v>
      </c>
      <c r="D66" s="21"/>
      <c r="E66" s="26" t="s">
        <v>456</v>
      </c>
      <c r="F66" s="7">
        <v>0</v>
      </c>
    </row>
    <row r="67" spans="1:6" x14ac:dyDescent="0.3">
      <c r="A67" s="23" t="s">
        <v>437</v>
      </c>
      <c r="B67" s="29">
        <v>5</v>
      </c>
      <c r="C67" s="171">
        <v>109003</v>
      </c>
      <c r="D67" s="21"/>
      <c r="E67" s="26" t="s">
        <v>777</v>
      </c>
      <c r="F67" s="164">
        <v>0</v>
      </c>
    </row>
    <row r="68" spans="1:6" x14ac:dyDescent="0.3">
      <c r="A68" s="23" t="s">
        <v>437</v>
      </c>
      <c r="B68" s="29">
        <v>5</v>
      </c>
      <c r="C68" s="171">
        <v>109004</v>
      </c>
      <c r="D68" s="21"/>
      <c r="E68" s="26" t="s">
        <v>778</v>
      </c>
      <c r="F68" s="164">
        <v>0</v>
      </c>
    </row>
    <row r="69" spans="1:6" x14ac:dyDescent="0.3">
      <c r="A69" s="23" t="s">
        <v>437</v>
      </c>
      <c r="B69" s="29">
        <v>5</v>
      </c>
      <c r="C69" s="171">
        <v>109007</v>
      </c>
      <c r="D69" s="21"/>
      <c r="E69" s="26" t="s">
        <v>689</v>
      </c>
      <c r="F69" s="164">
        <v>0</v>
      </c>
    </row>
    <row r="70" spans="1:6" x14ac:dyDescent="0.3">
      <c r="A70" s="23" t="s">
        <v>437</v>
      </c>
      <c r="B70" s="29">
        <v>5</v>
      </c>
      <c r="C70" s="171">
        <v>109008</v>
      </c>
      <c r="D70" s="21"/>
      <c r="E70" s="26" t="s">
        <v>779</v>
      </c>
      <c r="F70" s="164">
        <v>0</v>
      </c>
    </row>
    <row r="71" spans="1:6" ht="15" thickBot="1" x14ac:dyDescent="0.35">
      <c r="A71" s="23" t="s">
        <v>437</v>
      </c>
      <c r="B71" s="29">
        <v>5</v>
      </c>
      <c r="C71" s="171">
        <v>109009</v>
      </c>
      <c r="D71" s="21"/>
      <c r="E71" s="26" t="s">
        <v>690</v>
      </c>
      <c r="F71" s="164">
        <v>0</v>
      </c>
    </row>
    <row r="72" spans="1:6" ht="15" thickBot="1" x14ac:dyDescent="0.35">
      <c r="A72" s="23" t="s">
        <v>786</v>
      </c>
      <c r="B72" s="29">
        <v>6</v>
      </c>
      <c r="C72" s="225">
        <v>110001</v>
      </c>
      <c r="D72" s="21"/>
      <c r="E72" s="222" t="s">
        <v>787</v>
      </c>
      <c r="F72" s="164">
        <v>0</v>
      </c>
    </row>
    <row r="73" spans="1:6" ht="15" thickBot="1" x14ac:dyDescent="0.35">
      <c r="A73" s="23" t="s">
        <v>786</v>
      </c>
      <c r="B73" s="29">
        <v>6</v>
      </c>
      <c r="C73" s="225">
        <v>111001</v>
      </c>
      <c r="D73" s="21"/>
      <c r="E73" s="222" t="s">
        <v>788</v>
      </c>
      <c r="F73" s="164">
        <v>0</v>
      </c>
    </row>
    <row r="74" spans="1:6" x14ac:dyDescent="0.3">
      <c r="A74" s="23" t="s">
        <v>7</v>
      </c>
      <c r="B74" s="29">
        <v>1</v>
      </c>
      <c r="C74" s="136">
        <v>200001</v>
      </c>
      <c r="D74" s="26" t="s">
        <v>124</v>
      </c>
      <c r="E74" s="26" t="s">
        <v>94</v>
      </c>
      <c r="F74" s="164">
        <v>0</v>
      </c>
    </row>
    <row r="75" spans="1:6" x14ac:dyDescent="0.3">
      <c r="A75" s="23" t="s">
        <v>7</v>
      </c>
      <c r="B75" s="29">
        <v>1</v>
      </c>
      <c r="C75" s="136">
        <v>200002</v>
      </c>
      <c r="D75" s="26" t="s">
        <v>125</v>
      </c>
      <c r="E75" s="26" t="s">
        <v>95</v>
      </c>
      <c r="F75" s="7">
        <v>0</v>
      </c>
    </row>
    <row r="76" spans="1:6" x14ac:dyDescent="0.3">
      <c r="A76" s="23" t="s">
        <v>7</v>
      </c>
      <c r="B76" s="29">
        <v>1</v>
      </c>
      <c r="C76" s="136">
        <v>200003</v>
      </c>
      <c r="D76" s="26" t="s">
        <v>126</v>
      </c>
      <c r="E76" s="26" t="s">
        <v>96</v>
      </c>
      <c r="F76" s="7">
        <v>0</v>
      </c>
    </row>
    <row r="77" spans="1:6" x14ac:dyDescent="0.3">
      <c r="A77" s="23" t="s">
        <v>7</v>
      </c>
      <c r="B77" s="29">
        <v>1</v>
      </c>
      <c r="C77" s="136">
        <v>200004</v>
      </c>
      <c r="D77" s="26" t="s">
        <v>127</v>
      </c>
      <c r="E77" s="26" t="s">
        <v>97</v>
      </c>
      <c r="F77" s="7">
        <v>0</v>
      </c>
    </row>
    <row r="78" spans="1:6" x14ac:dyDescent="0.3">
      <c r="A78" s="23" t="s">
        <v>7</v>
      </c>
      <c r="B78" s="29">
        <v>1</v>
      </c>
      <c r="C78" s="136">
        <v>200005</v>
      </c>
      <c r="D78" s="27" t="s">
        <v>128</v>
      </c>
      <c r="E78" s="26" t="s">
        <v>98</v>
      </c>
      <c r="F78" s="7">
        <v>0</v>
      </c>
    </row>
    <row r="79" spans="1:6" x14ac:dyDescent="0.3">
      <c r="A79" s="23" t="s">
        <v>7</v>
      </c>
      <c r="B79" s="29">
        <v>1</v>
      </c>
      <c r="C79" s="136">
        <v>200006</v>
      </c>
      <c r="D79" s="26" t="s">
        <v>129</v>
      </c>
      <c r="E79" s="26" t="s">
        <v>99</v>
      </c>
      <c r="F79" s="7">
        <v>0</v>
      </c>
    </row>
    <row r="80" spans="1:6" x14ac:dyDescent="0.3">
      <c r="A80" s="23" t="s">
        <v>7</v>
      </c>
      <c r="B80" s="29">
        <v>1</v>
      </c>
      <c r="C80" s="136">
        <v>200007</v>
      </c>
      <c r="D80" s="27" t="s">
        <v>130</v>
      </c>
      <c r="E80" s="26" t="s">
        <v>100</v>
      </c>
      <c r="F80" s="7">
        <v>0</v>
      </c>
    </row>
    <row r="81" spans="1:6" x14ac:dyDescent="0.3">
      <c r="A81" s="23" t="s">
        <v>7</v>
      </c>
      <c r="B81" s="29">
        <v>1</v>
      </c>
      <c r="C81" s="136">
        <v>200008</v>
      </c>
      <c r="D81" s="26" t="s">
        <v>131</v>
      </c>
      <c r="E81" s="26" t="s">
        <v>101</v>
      </c>
      <c r="F81" s="7">
        <v>0</v>
      </c>
    </row>
    <row r="82" spans="1:6" x14ac:dyDescent="0.3">
      <c r="A82" s="23" t="s">
        <v>7</v>
      </c>
      <c r="B82" s="29">
        <v>1</v>
      </c>
      <c r="C82" s="136">
        <v>200009</v>
      </c>
      <c r="D82" s="26" t="s">
        <v>132</v>
      </c>
      <c r="E82" s="26" t="s">
        <v>102</v>
      </c>
      <c r="F82" s="7">
        <v>0</v>
      </c>
    </row>
    <row r="83" spans="1:6" x14ac:dyDescent="0.3">
      <c r="A83" s="23" t="s">
        <v>7</v>
      </c>
      <c r="B83" s="29">
        <v>1</v>
      </c>
      <c r="C83" s="136">
        <v>200010</v>
      </c>
      <c r="D83" s="26"/>
      <c r="E83" s="26" t="s">
        <v>401</v>
      </c>
      <c r="F83" s="7">
        <v>0</v>
      </c>
    </row>
    <row r="84" spans="1:6" x14ac:dyDescent="0.3">
      <c r="A84" s="23" t="s">
        <v>681</v>
      </c>
      <c r="B84" s="29">
        <v>1</v>
      </c>
      <c r="C84" s="136">
        <v>200011</v>
      </c>
      <c r="D84" s="26"/>
      <c r="E84" s="26" t="s">
        <v>675</v>
      </c>
      <c r="F84" s="7">
        <v>0</v>
      </c>
    </row>
    <row r="85" spans="1:6" x14ac:dyDescent="0.3">
      <c r="A85" s="23" t="s">
        <v>7</v>
      </c>
      <c r="B85" s="29">
        <v>2</v>
      </c>
      <c r="C85" s="28">
        <v>201001</v>
      </c>
      <c r="D85" s="26" t="s">
        <v>133</v>
      </c>
      <c r="E85" s="26" t="s">
        <v>103</v>
      </c>
      <c r="F85" s="7">
        <v>0</v>
      </c>
    </row>
    <row r="86" spans="1:6" x14ac:dyDescent="0.3">
      <c r="A86" s="23" t="s">
        <v>7</v>
      </c>
      <c r="B86" s="29">
        <v>2</v>
      </c>
      <c r="C86" s="28">
        <v>201002</v>
      </c>
      <c r="D86" s="26" t="s">
        <v>134</v>
      </c>
      <c r="E86" s="26" t="s">
        <v>104</v>
      </c>
      <c r="F86" s="7">
        <v>0</v>
      </c>
    </row>
    <row r="87" spans="1:6" x14ac:dyDescent="0.3">
      <c r="A87" s="23" t="s">
        <v>7</v>
      </c>
      <c r="B87" s="29">
        <v>2</v>
      </c>
      <c r="C87" s="28">
        <v>201003</v>
      </c>
      <c r="D87" s="26" t="s">
        <v>135</v>
      </c>
      <c r="E87" s="26" t="s">
        <v>105</v>
      </c>
      <c r="F87" s="7">
        <v>0</v>
      </c>
    </row>
    <row r="88" spans="1:6" x14ac:dyDescent="0.3">
      <c r="A88" s="23" t="s">
        <v>7</v>
      </c>
      <c r="B88" s="29">
        <v>2</v>
      </c>
      <c r="C88" s="28">
        <v>201007</v>
      </c>
      <c r="D88" s="27" t="s">
        <v>136</v>
      </c>
      <c r="E88" s="26" t="s">
        <v>106</v>
      </c>
      <c r="F88" s="7">
        <v>0</v>
      </c>
    </row>
    <row r="89" spans="1:6" x14ac:dyDescent="0.3">
      <c r="A89" s="23" t="s">
        <v>7</v>
      </c>
      <c r="B89" s="29">
        <v>2</v>
      </c>
      <c r="C89" s="28">
        <v>201008</v>
      </c>
      <c r="D89" s="26" t="s">
        <v>137</v>
      </c>
      <c r="E89" s="26" t="s">
        <v>107</v>
      </c>
      <c r="F89" s="7">
        <v>0</v>
      </c>
    </row>
    <row r="90" spans="1:6" x14ac:dyDescent="0.3">
      <c r="A90" s="23" t="s">
        <v>7</v>
      </c>
      <c r="B90" s="29">
        <v>2</v>
      </c>
      <c r="C90" s="28">
        <v>201009</v>
      </c>
      <c r="D90" s="26" t="s">
        <v>138</v>
      </c>
      <c r="E90" s="26" t="s">
        <v>108</v>
      </c>
      <c r="F90" s="7">
        <v>0</v>
      </c>
    </row>
    <row r="91" spans="1:6" x14ac:dyDescent="0.3">
      <c r="A91" s="23" t="s">
        <v>7</v>
      </c>
      <c r="B91" s="29">
        <v>2</v>
      </c>
      <c r="C91" s="28">
        <v>201010</v>
      </c>
      <c r="D91" s="26" t="s">
        <v>138</v>
      </c>
      <c r="E91" s="26" t="s">
        <v>402</v>
      </c>
      <c r="F91" s="7">
        <v>0</v>
      </c>
    </row>
    <row r="92" spans="1:6" x14ac:dyDescent="0.3">
      <c r="A92" s="34" t="s">
        <v>9</v>
      </c>
      <c r="B92" s="26">
        <v>2</v>
      </c>
      <c r="C92" s="35">
        <v>202001</v>
      </c>
      <c r="D92" s="21" t="s">
        <v>250</v>
      </c>
      <c r="E92" s="26" t="s">
        <v>230</v>
      </c>
      <c r="F92" s="7">
        <v>0</v>
      </c>
    </row>
    <row r="93" spans="1:6" x14ac:dyDescent="0.3">
      <c r="A93" s="34" t="s">
        <v>9</v>
      </c>
      <c r="B93" s="26">
        <v>2</v>
      </c>
      <c r="C93" s="35">
        <v>202002</v>
      </c>
      <c r="D93" s="21" t="s">
        <v>251</v>
      </c>
      <c r="E93" s="26" t="s">
        <v>231</v>
      </c>
      <c r="F93" s="7">
        <v>0</v>
      </c>
    </row>
    <row r="94" spans="1:6" x14ac:dyDescent="0.3">
      <c r="A94" s="34" t="s">
        <v>9</v>
      </c>
      <c r="B94" s="26">
        <v>2</v>
      </c>
      <c r="C94" s="35">
        <v>202003</v>
      </c>
      <c r="D94" s="21" t="s">
        <v>252</v>
      </c>
      <c r="E94" s="26" t="s">
        <v>232</v>
      </c>
      <c r="F94" s="7">
        <v>0</v>
      </c>
    </row>
    <row r="95" spans="1:6" x14ac:dyDescent="0.3">
      <c r="A95" s="34" t="s">
        <v>9</v>
      </c>
      <c r="B95" s="26">
        <v>2</v>
      </c>
      <c r="C95" s="35">
        <v>202007</v>
      </c>
      <c r="D95" s="21" t="s">
        <v>253</v>
      </c>
      <c r="E95" s="26" t="s">
        <v>233</v>
      </c>
      <c r="F95" s="7">
        <v>0</v>
      </c>
    </row>
    <row r="96" spans="1:6" x14ac:dyDescent="0.3">
      <c r="A96" s="34" t="s">
        <v>9</v>
      </c>
      <c r="B96" s="26">
        <v>2</v>
      </c>
      <c r="C96" s="35">
        <v>202008</v>
      </c>
      <c r="D96" s="21" t="s">
        <v>254</v>
      </c>
      <c r="E96" s="26" t="s">
        <v>234</v>
      </c>
      <c r="F96" s="7">
        <v>0</v>
      </c>
    </row>
    <row r="97" spans="1:6" x14ac:dyDescent="0.3">
      <c r="A97" s="34" t="s">
        <v>9</v>
      </c>
      <c r="B97" s="26">
        <v>2</v>
      </c>
      <c r="C97" s="35">
        <v>202009</v>
      </c>
      <c r="D97" s="21" t="s">
        <v>255</v>
      </c>
      <c r="E97" s="26" t="s">
        <v>235</v>
      </c>
      <c r="F97" s="7">
        <v>0</v>
      </c>
    </row>
    <row r="98" spans="1:6" x14ac:dyDescent="0.3">
      <c r="A98" s="34" t="s">
        <v>9</v>
      </c>
      <c r="B98" s="26">
        <v>2</v>
      </c>
      <c r="C98" s="35">
        <v>202010</v>
      </c>
      <c r="D98" s="21" t="s">
        <v>255</v>
      </c>
      <c r="E98" s="26" t="s">
        <v>403</v>
      </c>
      <c r="F98" s="7">
        <v>0</v>
      </c>
    </row>
    <row r="99" spans="1:6" x14ac:dyDescent="0.3">
      <c r="A99" s="23" t="s">
        <v>7</v>
      </c>
      <c r="B99" s="29">
        <v>3</v>
      </c>
      <c r="C99" s="28">
        <v>203001</v>
      </c>
      <c r="D99" s="26" t="s">
        <v>139</v>
      </c>
      <c r="E99" s="26" t="s">
        <v>109</v>
      </c>
      <c r="F99" s="7">
        <v>0</v>
      </c>
    </row>
    <row r="100" spans="1:6" x14ac:dyDescent="0.3">
      <c r="A100" s="23" t="s">
        <v>7</v>
      </c>
      <c r="B100" s="29">
        <v>3</v>
      </c>
      <c r="C100" s="28">
        <v>203002</v>
      </c>
      <c r="D100" s="26" t="s">
        <v>140</v>
      </c>
      <c r="E100" s="26" t="s">
        <v>110</v>
      </c>
      <c r="F100" s="7">
        <v>0</v>
      </c>
    </row>
    <row r="101" spans="1:6" x14ac:dyDescent="0.3">
      <c r="A101" s="23" t="s">
        <v>7</v>
      </c>
      <c r="B101" s="29">
        <v>3</v>
      </c>
      <c r="C101" s="28">
        <v>203003</v>
      </c>
      <c r="D101" s="26" t="s">
        <v>141</v>
      </c>
      <c r="E101" s="26" t="s">
        <v>111</v>
      </c>
      <c r="F101" s="7">
        <v>0</v>
      </c>
    </row>
    <row r="102" spans="1:6" x14ac:dyDescent="0.3">
      <c r="A102" s="23" t="s">
        <v>7</v>
      </c>
      <c r="B102" s="29">
        <v>3</v>
      </c>
      <c r="C102" s="28">
        <v>203004</v>
      </c>
      <c r="D102" s="26" t="s">
        <v>142</v>
      </c>
      <c r="E102" s="26" t="s">
        <v>112</v>
      </c>
      <c r="F102" s="7">
        <v>0</v>
      </c>
    </row>
    <row r="103" spans="1:6" x14ac:dyDescent="0.3">
      <c r="A103" s="23" t="s">
        <v>7</v>
      </c>
      <c r="B103" s="29">
        <v>3</v>
      </c>
      <c r="C103" s="28">
        <v>203005</v>
      </c>
      <c r="D103" s="27" t="s">
        <v>143</v>
      </c>
      <c r="E103" s="26" t="s">
        <v>113</v>
      </c>
      <c r="F103" s="7">
        <v>0</v>
      </c>
    </row>
    <row r="104" spans="1:6" x14ac:dyDescent="0.3">
      <c r="A104" s="23" t="s">
        <v>7</v>
      </c>
      <c r="B104" s="29">
        <v>3</v>
      </c>
      <c r="C104" s="28">
        <v>203006</v>
      </c>
      <c r="D104" s="27" t="s">
        <v>144</v>
      </c>
      <c r="E104" s="26" t="s">
        <v>114</v>
      </c>
      <c r="F104" s="7">
        <v>0</v>
      </c>
    </row>
    <row r="105" spans="1:6" x14ac:dyDescent="0.3">
      <c r="A105" s="23" t="s">
        <v>7</v>
      </c>
      <c r="B105" s="29">
        <v>3</v>
      </c>
      <c r="C105" s="28">
        <v>203007</v>
      </c>
      <c r="D105" s="27" t="s">
        <v>145</v>
      </c>
      <c r="E105" s="26" t="s">
        <v>115</v>
      </c>
      <c r="F105" s="7">
        <v>0</v>
      </c>
    </row>
    <row r="106" spans="1:6" x14ac:dyDescent="0.3">
      <c r="A106" s="23" t="s">
        <v>7</v>
      </c>
      <c r="B106" s="29">
        <v>3</v>
      </c>
      <c r="C106" s="28">
        <v>203008</v>
      </c>
      <c r="D106" s="26" t="s">
        <v>146</v>
      </c>
      <c r="E106" s="26" t="s">
        <v>116</v>
      </c>
      <c r="F106" s="7">
        <v>0</v>
      </c>
    </row>
    <row r="107" spans="1:6" x14ac:dyDescent="0.3">
      <c r="A107" s="23" t="s">
        <v>7</v>
      </c>
      <c r="B107" s="29">
        <v>3</v>
      </c>
      <c r="C107" s="28">
        <v>203009</v>
      </c>
      <c r="D107" s="26" t="s">
        <v>147</v>
      </c>
      <c r="E107" s="26" t="s">
        <v>117</v>
      </c>
      <c r="F107" s="7">
        <v>0</v>
      </c>
    </row>
    <row r="108" spans="1:6" x14ac:dyDescent="0.3">
      <c r="A108" s="23" t="s">
        <v>7</v>
      </c>
      <c r="B108" s="29">
        <v>3</v>
      </c>
      <c r="C108" s="28">
        <v>203010</v>
      </c>
      <c r="D108" s="26" t="s">
        <v>147</v>
      </c>
      <c r="E108" s="26" t="s">
        <v>404</v>
      </c>
      <c r="F108" s="7">
        <v>0</v>
      </c>
    </row>
    <row r="109" spans="1:6" x14ac:dyDescent="0.3">
      <c r="A109" s="23" t="s">
        <v>681</v>
      </c>
      <c r="B109" s="29">
        <v>3</v>
      </c>
      <c r="C109" s="28">
        <v>203011</v>
      </c>
      <c r="D109" s="26"/>
      <c r="E109" s="26" t="s">
        <v>676</v>
      </c>
      <c r="F109" s="7">
        <v>0</v>
      </c>
    </row>
    <row r="110" spans="1:6" x14ac:dyDescent="0.3">
      <c r="A110" s="34" t="s">
        <v>9</v>
      </c>
      <c r="B110" s="26">
        <v>3</v>
      </c>
      <c r="C110" s="35">
        <v>204001</v>
      </c>
      <c r="D110" s="21" t="s">
        <v>256</v>
      </c>
      <c r="E110" s="26" t="s">
        <v>236</v>
      </c>
      <c r="F110" s="7">
        <v>0</v>
      </c>
    </row>
    <row r="111" spans="1:6" x14ac:dyDescent="0.3">
      <c r="A111" s="34" t="s">
        <v>9</v>
      </c>
      <c r="B111" s="26">
        <v>3</v>
      </c>
      <c r="C111" s="35">
        <v>204002</v>
      </c>
      <c r="D111" s="21" t="s">
        <v>257</v>
      </c>
      <c r="E111" s="26" t="s">
        <v>237</v>
      </c>
      <c r="F111" s="7">
        <v>0</v>
      </c>
    </row>
    <row r="112" spans="1:6" x14ac:dyDescent="0.3">
      <c r="A112" s="34" t="s">
        <v>9</v>
      </c>
      <c r="B112" s="26">
        <v>3</v>
      </c>
      <c r="C112" s="35">
        <v>204003</v>
      </c>
      <c r="D112" s="21" t="s">
        <v>258</v>
      </c>
      <c r="E112" s="26" t="s">
        <v>238</v>
      </c>
      <c r="F112" s="7">
        <v>0</v>
      </c>
    </row>
    <row r="113" spans="1:6" x14ac:dyDescent="0.3">
      <c r="A113" s="34" t="s">
        <v>9</v>
      </c>
      <c r="B113" s="26">
        <v>3</v>
      </c>
      <c r="C113" s="35">
        <v>204004</v>
      </c>
      <c r="D113" s="21" t="s">
        <v>259</v>
      </c>
      <c r="E113" s="26" t="s">
        <v>239</v>
      </c>
      <c r="F113" s="7">
        <v>0</v>
      </c>
    </row>
    <row r="114" spans="1:6" x14ac:dyDescent="0.3">
      <c r="A114" s="34" t="s">
        <v>9</v>
      </c>
      <c r="B114" s="26">
        <v>3</v>
      </c>
      <c r="C114" s="35">
        <v>204006</v>
      </c>
      <c r="D114" s="21" t="s">
        <v>260</v>
      </c>
      <c r="E114" s="26" t="s">
        <v>240</v>
      </c>
      <c r="F114" s="7">
        <v>0</v>
      </c>
    </row>
    <row r="115" spans="1:6" x14ac:dyDescent="0.3">
      <c r="A115" s="34" t="s">
        <v>9</v>
      </c>
      <c r="B115" s="26">
        <v>3</v>
      </c>
      <c r="C115" s="35">
        <v>204007</v>
      </c>
      <c r="D115" s="21" t="s">
        <v>261</v>
      </c>
      <c r="E115" s="26" t="s">
        <v>241</v>
      </c>
      <c r="F115" s="7">
        <v>0</v>
      </c>
    </row>
    <row r="116" spans="1:6" x14ac:dyDescent="0.3">
      <c r="A116" s="34" t="s">
        <v>9</v>
      </c>
      <c r="B116" s="26">
        <v>3</v>
      </c>
      <c r="C116" s="35">
        <v>204008</v>
      </c>
      <c r="D116" s="21" t="s">
        <v>262</v>
      </c>
      <c r="E116" s="26" t="s">
        <v>242</v>
      </c>
      <c r="F116" s="7">
        <v>0</v>
      </c>
    </row>
    <row r="117" spans="1:6" x14ac:dyDescent="0.3">
      <c r="A117" s="34" t="s">
        <v>9</v>
      </c>
      <c r="B117" s="26">
        <v>3</v>
      </c>
      <c r="C117" s="35">
        <v>204009</v>
      </c>
      <c r="D117" s="21" t="s">
        <v>263</v>
      </c>
      <c r="E117" s="26" t="s">
        <v>243</v>
      </c>
      <c r="F117" s="7">
        <v>0</v>
      </c>
    </row>
    <row r="118" spans="1:6" x14ac:dyDescent="0.3">
      <c r="A118" s="34" t="s">
        <v>9</v>
      </c>
      <c r="B118" s="26">
        <v>3</v>
      </c>
      <c r="C118" s="35">
        <v>204010</v>
      </c>
      <c r="D118" s="21" t="s">
        <v>263</v>
      </c>
      <c r="E118" s="26" t="s">
        <v>405</v>
      </c>
      <c r="F118" s="7">
        <v>0</v>
      </c>
    </row>
    <row r="119" spans="1:6" x14ac:dyDescent="0.3">
      <c r="A119" s="23" t="s">
        <v>7</v>
      </c>
      <c r="B119" s="29">
        <v>4</v>
      </c>
      <c r="C119" s="28">
        <v>205001</v>
      </c>
      <c r="D119" s="26" t="s">
        <v>148</v>
      </c>
      <c r="E119" s="26" t="s">
        <v>118</v>
      </c>
      <c r="F119" s="7">
        <v>0</v>
      </c>
    </row>
    <row r="120" spans="1:6" x14ac:dyDescent="0.3">
      <c r="A120" s="23" t="s">
        <v>7</v>
      </c>
      <c r="B120" s="29">
        <v>4</v>
      </c>
      <c r="C120" s="28">
        <v>205002</v>
      </c>
      <c r="D120" s="26" t="s">
        <v>149</v>
      </c>
      <c r="E120" s="26" t="s">
        <v>119</v>
      </c>
      <c r="F120" s="7">
        <v>0</v>
      </c>
    </row>
    <row r="121" spans="1:6" x14ac:dyDescent="0.3">
      <c r="A121" s="23" t="s">
        <v>7</v>
      </c>
      <c r="B121" s="29">
        <v>4</v>
      </c>
      <c r="C121" s="28">
        <v>205003</v>
      </c>
      <c r="D121" s="26" t="s">
        <v>150</v>
      </c>
      <c r="E121" s="26" t="s">
        <v>120</v>
      </c>
      <c r="F121" s="7">
        <v>0</v>
      </c>
    </row>
    <row r="122" spans="1:6" x14ac:dyDescent="0.3">
      <c r="A122" s="23" t="s">
        <v>7</v>
      </c>
      <c r="B122" s="29">
        <v>4</v>
      </c>
      <c r="C122" s="28">
        <v>205007</v>
      </c>
      <c r="D122" s="27" t="s">
        <v>151</v>
      </c>
      <c r="E122" s="26" t="s">
        <v>121</v>
      </c>
      <c r="F122" s="7">
        <v>0</v>
      </c>
    </row>
    <row r="123" spans="1:6" x14ac:dyDescent="0.3">
      <c r="A123" s="23" t="s">
        <v>7</v>
      </c>
      <c r="B123" s="29">
        <v>4</v>
      </c>
      <c r="C123" s="28">
        <v>205008</v>
      </c>
      <c r="D123" s="26" t="s">
        <v>152</v>
      </c>
      <c r="E123" s="26" t="s">
        <v>122</v>
      </c>
      <c r="F123" s="7">
        <v>0</v>
      </c>
    </row>
    <row r="124" spans="1:6" x14ac:dyDescent="0.3">
      <c r="A124" s="23" t="s">
        <v>7</v>
      </c>
      <c r="B124" s="29">
        <v>4</v>
      </c>
      <c r="C124" s="28">
        <v>205009</v>
      </c>
      <c r="D124" s="26" t="s">
        <v>153</v>
      </c>
      <c r="E124" s="26" t="s">
        <v>123</v>
      </c>
      <c r="F124" s="7">
        <v>0</v>
      </c>
    </row>
    <row r="125" spans="1:6" x14ac:dyDescent="0.3">
      <c r="A125" s="23" t="s">
        <v>7</v>
      </c>
      <c r="B125" s="29">
        <v>4</v>
      </c>
      <c r="C125" s="28">
        <v>205010</v>
      </c>
      <c r="D125" s="26" t="s">
        <v>153</v>
      </c>
      <c r="E125" s="26" t="s">
        <v>406</v>
      </c>
      <c r="F125" s="7">
        <v>0</v>
      </c>
    </row>
    <row r="126" spans="1:6" x14ac:dyDescent="0.3">
      <c r="A126" s="34" t="s">
        <v>9</v>
      </c>
      <c r="B126" s="26">
        <v>4</v>
      </c>
      <c r="C126" s="35">
        <v>206001</v>
      </c>
      <c r="D126" s="21" t="s">
        <v>264</v>
      </c>
      <c r="E126" s="26" t="s">
        <v>244</v>
      </c>
      <c r="F126" s="7">
        <v>0</v>
      </c>
    </row>
    <row r="127" spans="1:6" x14ac:dyDescent="0.3">
      <c r="A127" s="34" t="s">
        <v>9</v>
      </c>
      <c r="B127" s="26">
        <v>4</v>
      </c>
      <c r="C127" s="35">
        <v>206002</v>
      </c>
      <c r="D127" s="21" t="s">
        <v>265</v>
      </c>
      <c r="E127" s="26" t="s">
        <v>245</v>
      </c>
      <c r="F127" s="7">
        <v>0</v>
      </c>
    </row>
    <row r="128" spans="1:6" x14ac:dyDescent="0.3">
      <c r="A128" s="34" t="s">
        <v>9</v>
      </c>
      <c r="B128" s="26">
        <v>4</v>
      </c>
      <c r="C128" s="35">
        <v>206003</v>
      </c>
      <c r="D128" s="21" t="s">
        <v>266</v>
      </c>
      <c r="E128" s="26" t="s">
        <v>246</v>
      </c>
      <c r="F128" s="7">
        <v>0</v>
      </c>
    </row>
    <row r="129" spans="1:6" x14ac:dyDescent="0.3">
      <c r="A129" s="34" t="s">
        <v>9</v>
      </c>
      <c r="B129" s="26">
        <v>4</v>
      </c>
      <c r="C129" s="35">
        <v>206007</v>
      </c>
      <c r="D129" s="21" t="s">
        <v>267</v>
      </c>
      <c r="E129" s="26" t="s">
        <v>247</v>
      </c>
      <c r="F129" s="7">
        <v>0</v>
      </c>
    </row>
    <row r="130" spans="1:6" x14ac:dyDescent="0.3">
      <c r="A130" s="34" t="s">
        <v>9</v>
      </c>
      <c r="B130" s="26">
        <v>4</v>
      </c>
      <c r="C130" s="35">
        <v>206008</v>
      </c>
      <c r="D130" s="21" t="s">
        <v>268</v>
      </c>
      <c r="E130" s="26" t="s">
        <v>248</v>
      </c>
      <c r="F130" s="7">
        <v>0</v>
      </c>
    </row>
    <row r="131" spans="1:6" x14ac:dyDescent="0.3">
      <c r="A131" s="34" t="s">
        <v>9</v>
      </c>
      <c r="B131" s="26">
        <v>4</v>
      </c>
      <c r="C131" s="35">
        <v>206009</v>
      </c>
      <c r="D131" s="21" t="s">
        <v>269</v>
      </c>
      <c r="E131" s="26" t="s">
        <v>249</v>
      </c>
      <c r="F131" s="7">
        <v>0</v>
      </c>
    </row>
    <row r="132" spans="1:6" x14ac:dyDescent="0.3">
      <c r="A132" s="34" t="s">
        <v>9</v>
      </c>
      <c r="B132" s="26">
        <v>4</v>
      </c>
      <c r="C132" s="35">
        <v>206010</v>
      </c>
      <c r="D132" s="21" t="s">
        <v>269</v>
      </c>
      <c r="E132" s="26" t="s">
        <v>407</v>
      </c>
      <c r="F132" s="7">
        <v>0</v>
      </c>
    </row>
    <row r="133" spans="1:6" x14ac:dyDescent="0.3">
      <c r="A133" s="154" t="s">
        <v>438</v>
      </c>
      <c r="B133" s="26">
        <v>1</v>
      </c>
      <c r="C133" s="136">
        <v>207003</v>
      </c>
      <c r="D133" s="21"/>
      <c r="E133" s="26" t="s">
        <v>452</v>
      </c>
      <c r="F133" s="7">
        <v>0</v>
      </c>
    </row>
    <row r="134" spans="1:6" x14ac:dyDescent="0.3">
      <c r="A134" s="154" t="s">
        <v>438</v>
      </c>
      <c r="B134" s="26">
        <v>1</v>
      </c>
      <c r="C134" s="136">
        <v>207004</v>
      </c>
      <c r="D134" s="21"/>
      <c r="E134" s="26" t="s">
        <v>453</v>
      </c>
      <c r="F134" s="7">
        <v>0</v>
      </c>
    </row>
    <row r="135" spans="1:6" x14ac:dyDescent="0.3">
      <c r="A135" s="154" t="s">
        <v>438</v>
      </c>
      <c r="B135" s="26">
        <v>1</v>
      </c>
      <c r="C135" s="136">
        <v>207007</v>
      </c>
      <c r="D135" s="21"/>
      <c r="E135" s="26" t="s">
        <v>454</v>
      </c>
      <c r="F135" s="7">
        <v>0</v>
      </c>
    </row>
    <row r="136" spans="1:6" x14ac:dyDescent="0.3">
      <c r="A136" s="154" t="s">
        <v>438</v>
      </c>
      <c r="B136" s="26">
        <v>1</v>
      </c>
      <c r="C136" s="136">
        <v>207008</v>
      </c>
      <c r="D136" s="21"/>
      <c r="E136" s="26" t="s">
        <v>455</v>
      </c>
      <c r="F136" s="7">
        <v>0</v>
      </c>
    </row>
    <row r="137" spans="1:6" x14ac:dyDescent="0.3">
      <c r="A137" s="154" t="s">
        <v>438</v>
      </c>
      <c r="B137" s="29">
        <v>1</v>
      </c>
      <c r="C137" s="136">
        <v>207009</v>
      </c>
      <c r="D137" s="26" t="s">
        <v>124</v>
      </c>
      <c r="E137" s="26" t="s">
        <v>447</v>
      </c>
      <c r="F137" s="7">
        <v>0</v>
      </c>
    </row>
    <row r="138" spans="1:6" x14ac:dyDescent="0.3">
      <c r="A138" s="154" t="s">
        <v>438</v>
      </c>
      <c r="B138" s="29">
        <v>1</v>
      </c>
      <c r="C138" s="155">
        <v>208009</v>
      </c>
      <c r="D138" s="26"/>
      <c r="E138" s="26" t="s">
        <v>457</v>
      </c>
      <c r="F138" s="7">
        <v>0</v>
      </c>
    </row>
    <row r="139" spans="1:6" x14ac:dyDescent="0.3">
      <c r="A139" s="154" t="s">
        <v>438</v>
      </c>
      <c r="B139" s="29">
        <v>5</v>
      </c>
      <c r="C139" s="170">
        <v>209003</v>
      </c>
      <c r="D139" s="26"/>
      <c r="E139" s="26" t="s">
        <v>780</v>
      </c>
      <c r="F139" s="164">
        <v>0</v>
      </c>
    </row>
    <row r="140" spans="1:6" x14ac:dyDescent="0.3">
      <c r="A140" s="154" t="s">
        <v>438</v>
      </c>
      <c r="B140" s="29">
        <v>5</v>
      </c>
      <c r="C140" s="170">
        <v>209004</v>
      </c>
      <c r="D140" s="26"/>
      <c r="E140" s="26" t="s">
        <v>781</v>
      </c>
      <c r="F140" s="164">
        <v>0</v>
      </c>
    </row>
    <row r="141" spans="1:6" x14ac:dyDescent="0.3">
      <c r="A141" s="154" t="s">
        <v>438</v>
      </c>
      <c r="B141" s="29">
        <v>5</v>
      </c>
      <c r="C141" s="170">
        <v>209007</v>
      </c>
      <c r="D141" s="26"/>
      <c r="E141" s="26" t="s">
        <v>688</v>
      </c>
      <c r="F141" s="7">
        <v>0</v>
      </c>
    </row>
    <row r="142" spans="1:6" x14ac:dyDescent="0.3">
      <c r="A142" s="154" t="s">
        <v>438</v>
      </c>
      <c r="B142" s="29">
        <v>5</v>
      </c>
      <c r="C142" s="170">
        <v>209008</v>
      </c>
      <c r="D142" s="26"/>
      <c r="E142" s="26" t="s">
        <v>782</v>
      </c>
      <c r="F142" s="164">
        <v>0</v>
      </c>
    </row>
    <row r="143" spans="1:6" ht="15" thickBot="1" x14ac:dyDescent="0.35">
      <c r="A143" s="154" t="s">
        <v>438</v>
      </c>
      <c r="B143" s="29">
        <v>5</v>
      </c>
      <c r="C143" s="170">
        <v>209009</v>
      </c>
      <c r="D143" s="26"/>
      <c r="E143" s="26" t="s">
        <v>687</v>
      </c>
      <c r="F143" s="7">
        <v>0</v>
      </c>
    </row>
    <row r="144" spans="1:6" ht="15" thickBot="1" x14ac:dyDescent="0.35">
      <c r="A144" s="154" t="s">
        <v>785</v>
      </c>
      <c r="B144" s="29">
        <v>6</v>
      </c>
      <c r="C144" s="221">
        <v>210001</v>
      </c>
      <c r="D144" s="27"/>
      <c r="E144" s="222" t="s">
        <v>783</v>
      </c>
      <c r="F144" s="223">
        <v>0</v>
      </c>
    </row>
    <row r="145" spans="1:6" ht="15" thickBot="1" x14ac:dyDescent="0.35">
      <c r="A145" s="154" t="s">
        <v>785</v>
      </c>
      <c r="B145" s="29">
        <v>6</v>
      </c>
      <c r="C145" s="224">
        <v>211001</v>
      </c>
      <c r="D145" s="27"/>
      <c r="E145" s="222" t="s">
        <v>784</v>
      </c>
      <c r="F145" s="223">
        <v>0</v>
      </c>
    </row>
    <row r="146" spans="1:6" x14ac:dyDescent="0.3">
      <c r="A146" s="23" t="s">
        <v>189</v>
      </c>
      <c r="B146" s="29">
        <v>1</v>
      </c>
      <c r="C146" s="137">
        <v>300001</v>
      </c>
      <c r="D146" s="21" t="s">
        <v>165</v>
      </c>
      <c r="E146" s="26" t="s">
        <v>307</v>
      </c>
      <c r="F146" s="7">
        <v>0</v>
      </c>
    </row>
    <row r="147" spans="1:6" x14ac:dyDescent="0.3">
      <c r="A147" s="23" t="s">
        <v>189</v>
      </c>
      <c r="B147" s="29">
        <v>1</v>
      </c>
      <c r="C147" s="137">
        <v>300002</v>
      </c>
      <c r="D147" s="21" t="s">
        <v>166</v>
      </c>
      <c r="E147" s="26" t="s">
        <v>315</v>
      </c>
      <c r="F147" s="7">
        <v>0</v>
      </c>
    </row>
    <row r="148" spans="1:6" x14ac:dyDescent="0.3">
      <c r="A148" s="23" t="s">
        <v>189</v>
      </c>
      <c r="B148" s="29">
        <v>1</v>
      </c>
      <c r="C148" s="137">
        <v>300003</v>
      </c>
      <c r="D148" s="21" t="s">
        <v>167</v>
      </c>
      <c r="E148" s="26" t="s">
        <v>314</v>
      </c>
      <c r="F148" s="7">
        <v>0</v>
      </c>
    </row>
    <row r="149" spans="1:6" x14ac:dyDescent="0.3">
      <c r="A149" s="23" t="s">
        <v>189</v>
      </c>
      <c r="B149" s="29">
        <v>1</v>
      </c>
      <c r="C149" s="137">
        <v>300004</v>
      </c>
      <c r="D149" s="21" t="s">
        <v>168</v>
      </c>
      <c r="E149" s="26" t="s">
        <v>313</v>
      </c>
      <c r="F149" s="7">
        <v>0</v>
      </c>
    </row>
    <row r="150" spans="1:6" x14ac:dyDescent="0.3">
      <c r="A150" s="23" t="s">
        <v>189</v>
      </c>
      <c r="B150" s="29">
        <v>1</v>
      </c>
      <c r="C150" s="137">
        <v>300005</v>
      </c>
      <c r="D150" s="21" t="s">
        <v>169</v>
      </c>
      <c r="E150" s="26" t="s">
        <v>312</v>
      </c>
      <c r="F150" s="7">
        <v>0</v>
      </c>
    </row>
    <row r="151" spans="1:6" x14ac:dyDescent="0.3">
      <c r="A151" s="23" t="s">
        <v>189</v>
      </c>
      <c r="B151" s="29">
        <v>1</v>
      </c>
      <c r="C151" s="137">
        <v>300006</v>
      </c>
      <c r="D151" s="21" t="s">
        <v>170</v>
      </c>
      <c r="E151" s="26" t="s">
        <v>311</v>
      </c>
      <c r="F151" s="7">
        <v>0</v>
      </c>
    </row>
    <row r="152" spans="1:6" x14ac:dyDescent="0.3">
      <c r="A152" s="23" t="s">
        <v>189</v>
      </c>
      <c r="B152" s="29">
        <v>1</v>
      </c>
      <c r="C152" s="137">
        <v>300007</v>
      </c>
      <c r="D152" s="21" t="s">
        <v>171</v>
      </c>
      <c r="E152" s="26" t="s">
        <v>310</v>
      </c>
      <c r="F152" s="7">
        <v>0</v>
      </c>
    </row>
    <row r="153" spans="1:6" x14ac:dyDescent="0.3">
      <c r="A153" s="23" t="s">
        <v>189</v>
      </c>
      <c r="B153" s="29">
        <v>1</v>
      </c>
      <c r="C153" s="137">
        <v>300008</v>
      </c>
      <c r="D153" s="21" t="s">
        <v>172</v>
      </c>
      <c r="E153" s="26" t="s">
        <v>309</v>
      </c>
      <c r="F153" s="7">
        <v>0</v>
      </c>
    </row>
    <row r="154" spans="1:6" x14ac:dyDescent="0.3">
      <c r="A154" s="23" t="s">
        <v>189</v>
      </c>
      <c r="B154" s="29">
        <v>1</v>
      </c>
      <c r="C154" s="137">
        <v>300009</v>
      </c>
      <c r="D154" s="21" t="s">
        <v>173</v>
      </c>
      <c r="E154" s="26" t="s">
        <v>308</v>
      </c>
      <c r="F154" s="7">
        <v>0</v>
      </c>
    </row>
    <row r="155" spans="1:6" x14ac:dyDescent="0.3">
      <c r="A155" s="23" t="s">
        <v>189</v>
      </c>
      <c r="B155" s="29">
        <v>2</v>
      </c>
      <c r="C155" s="137">
        <v>300010</v>
      </c>
      <c r="D155" s="21" t="s">
        <v>173</v>
      </c>
      <c r="E155" s="26" t="s">
        <v>408</v>
      </c>
      <c r="F155" s="7">
        <v>0</v>
      </c>
    </row>
    <row r="156" spans="1:6" x14ac:dyDescent="0.3">
      <c r="A156" s="23" t="s">
        <v>189</v>
      </c>
      <c r="B156" s="29">
        <v>2</v>
      </c>
      <c r="C156" s="137">
        <v>300011</v>
      </c>
      <c r="D156" s="21"/>
      <c r="E156" s="26" t="s">
        <v>677</v>
      </c>
      <c r="F156" s="7">
        <v>0</v>
      </c>
    </row>
    <row r="157" spans="1:6" x14ac:dyDescent="0.3">
      <c r="A157" s="23" t="s">
        <v>189</v>
      </c>
      <c r="B157" s="29">
        <v>2</v>
      </c>
      <c r="C157" s="30">
        <v>301001</v>
      </c>
      <c r="D157" s="21" t="s">
        <v>174</v>
      </c>
      <c r="E157" s="26" t="s">
        <v>316</v>
      </c>
      <c r="F157" s="7">
        <v>0</v>
      </c>
    </row>
    <row r="158" spans="1:6" x14ac:dyDescent="0.3">
      <c r="A158" s="23" t="s">
        <v>189</v>
      </c>
      <c r="B158" s="29">
        <v>2</v>
      </c>
      <c r="C158" s="30">
        <v>301002</v>
      </c>
      <c r="D158" s="21" t="s">
        <v>175</v>
      </c>
      <c r="E158" s="26" t="s">
        <v>155</v>
      </c>
      <c r="F158" s="7">
        <v>0</v>
      </c>
    </row>
    <row r="159" spans="1:6" x14ac:dyDescent="0.3">
      <c r="A159" s="23" t="s">
        <v>189</v>
      </c>
      <c r="B159" s="29">
        <v>2</v>
      </c>
      <c r="C159" s="30">
        <v>301003</v>
      </c>
      <c r="D159" s="21" t="s">
        <v>176</v>
      </c>
      <c r="E159" s="26" t="s">
        <v>317</v>
      </c>
      <c r="F159" s="7">
        <v>0</v>
      </c>
    </row>
    <row r="160" spans="1:6" x14ac:dyDescent="0.3">
      <c r="A160" s="23" t="s">
        <v>189</v>
      </c>
      <c r="B160" s="29">
        <v>2</v>
      </c>
      <c r="C160" s="30">
        <v>301007</v>
      </c>
      <c r="D160" s="21" t="s">
        <v>177</v>
      </c>
      <c r="E160" s="26" t="s">
        <v>318</v>
      </c>
      <c r="F160" s="7">
        <v>0</v>
      </c>
    </row>
    <row r="161" spans="1:6" x14ac:dyDescent="0.3">
      <c r="A161" s="23" t="s">
        <v>189</v>
      </c>
      <c r="B161" s="29">
        <v>2</v>
      </c>
      <c r="C161" s="30">
        <v>301008</v>
      </c>
      <c r="D161" s="21" t="s">
        <v>178</v>
      </c>
      <c r="E161" s="26" t="s">
        <v>319</v>
      </c>
      <c r="F161" s="7">
        <v>0</v>
      </c>
    </row>
    <row r="162" spans="1:6" x14ac:dyDescent="0.3">
      <c r="A162" s="34" t="s">
        <v>10</v>
      </c>
      <c r="B162" s="26">
        <v>2</v>
      </c>
      <c r="C162" s="30">
        <v>301009</v>
      </c>
      <c r="D162" s="21" t="s">
        <v>179</v>
      </c>
      <c r="E162" s="26" t="s">
        <v>154</v>
      </c>
      <c r="F162" s="7">
        <v>0</v>
      </c>
    </row>
    <row r="163" spans="1:6" x14ac:dyDescent="0.3">
      <c r="A163" s="34" t="s">
        <v>10</v>
      </c>
      <c r="B163" s="26">
        <v>2</v>
      </c>
      <c r="C163" s="30">
        <v>301010</v>
      </c>
      <c r="D163" s="21" t="s">
        <v>179</v>
      </c>
      <c r="E163" s="26" t="s">
        <v>409</v>
      </c>
      <c r="F163" s="7">
        <v>0</v>
      </c>
    </row>
    <row r="164" spans="1:6" x14ac:dyDescent="0.3">
      <c r="A164" s="34" t="s">
        <v>10</v>
      </c>
      <c r="B164" s="26">
        <v>2</v>
      </c>
      <c r="C164" s="24">
        <v>302001</v>
      </c>
      <c r="D164" s="21" t="s">
        <v>284</v>
      </c>
      <c r="E164" s="26" t="s">
        <v>270</v>
      </c>
      <c r="F164" s="7">
        <v>0</v>
      </c>
    </row>
    <row r="165" spans="1:6" x14ac:dyDescent="0.3">
      <c r="A165" s="34" t="s">
        <v>10</v>
      </c>
      <c r="B165" s="26">
        <v>2</v>
      </c>
      <c r="C165" s="24">
        <v>302002</v>
      </c>
      <c r="D165" s="21" t="s">
        <v>285</v>
      </c>
      <c r="E165" s="26" t="s">
        <v>271</v>
      </c>
      <c r="F165" s="7">
        <v>0</v>
      </c>
    </row>
    <row r="166" spans="1:6" x14ac:dyDescent="0.3">
      <c r="A166" s="34" t="s">
        <v>10</v>
      </c>
      <c r="B166" s="26">
        <v>2</v>
      </c>
      <c r="C166" s="24">
        <v>302003</v>
      </c>
      <c r="D166" s="21" t="s">
        <v>286</v>
      </c>
      <c r="E166" s="26" t="s">
        <v>272</v>
      </c>
      <c r="F166" s="7">
        <v>0</v>
      </c>
    </row>
    <row r="167" spans="1:6" x14ac:dyDescent="0.3">
      <c r="A167" s="34" t="s">
        <v>10</v>
      </c>
      <c r="B167" s="26">
        <v>2</v>
      </c>
      <c r="C167" s="24">
        <v>302007</v>
      </c>
      <c r="D167" s="21" t="s">
        <v>287</v>
      </c>
      <c r="E167" s="26" t="s">
        <v>273</v>
      </c>
      <c r="F167" s="7">
        <v>0</v>
      </c>
    </row>
    <row r="168" spans="1:6" x14ac:dyDescent="0.3">
      <c r="A168" s="34" t="s">
        <v>10</v>
      </c>
      <c r="B168" s="26">
        <v>2</v>
      </c>
      <c r="C168" s="24">
        <v>302008</v>
      </c>
      <c r="D168" s="21" t="s">
        <v>288</v>
      </c>
      <c r="E168" s="26" t="s">
        <v>274</v>
      </c>
      <c r="F168" s="7">
        <v>0</v>
      </c>
    </row>
    <row r="169" spans="1:6" x14ac:dyDescent="0.3">
      <c r="A169" s="23" t="s">
        <v>189</v>
      </c>
      <c r="B169" s="29">
        <v>3</v>
      </c>
      <c r="C169" s="24">
        <v>302009</v>
      </c>
      <c r="D169" s="21" t="s">
        <v>289</v>
      </c>
      <c r="E169" s="26" t="s">
        <v>275</v>
      </c>
      <c r="F169" s="7">
        <v>0</v>
      </c>
    </row>
    <row r="170" spans="1:6" x14ac:dyDescent="0.3">
      <c r="A170" s="23" t="s">
        <v>189</v>
      </c>
      <c r="B170" s="29">
        <v>3</v>
      </c>
      <c r="C170" s="24">
        <v>302010</v>
      </c>
      <c r="D170" s="21" t="s">
        <v>289</v>
      </c>
      <c r="E170" s="26" t="s">
        <v>410</v>
      </c>
      <c r="F170" s="7">
        <v>0</v>
      </c>
    </row>
    <row r="171" spans="1:6" x14ac:dyDescent="0.3">
      <c r="A171" s="23" t="s">
        <v>189</v>
      </c>
      <c r="B171" s="29">
        <v>3</v>
      </c>
      <c r="C171" s="30">
        <v>303001</v>
      </c>
      <c r="D171" s="21" t="s">
        <v>180</v>
      </c>
      <c r="E171" s="26" t="s">
        <v>156</v>
      </c>
      <c r="F171" s="7">
        <v>0</v>
      </c>
    </row>
    <row r="172" spans="1:6" x14ac:dyDescent="0.3">
      <c r="A172" s="23" t="s">
        <v>189</v>
      </c>
      <c r="B172" s="29">
        <v>3</v>
      </c>
      <c r="C172" s="30">
        <v>303002</v>
      </c>
      <c r="D172" s="21" t="s">
        <v>181</v>
      </c>
      <c r="E172" s="26" t="s">
        <v>157</v>
      </c>
      <c r="F172" s="7">
        <v>0</v>
      </c>
    </row>
    <row r="173" spans="1:6" x14ac:dyDescent="0.3">
      <c r="A173" s="23" t="s">
        <v>189</v>
      </c>
      <c r="B173" s="29">
        <v>3</v>
      </c>
      <c r="C173" s="30">
        <v>303003</v>
      </c>
      <c r="D173" s="21" t="s">
        <v>182</v>
      </c>
      <c r="E173" s="26" t="s">
        <v>158</v>
      </c>
      <c r="F173" s="7">
        <v>0</v>
      </c>
    </row>
    <row r="174" spans="1:6" x14ac:dyDescent="0.3">
      <c r="A174" s="23" t="s">
        <v>189</v>
      </c>
      <c r="B174" s="29">
        <v>3</v>
      </c>
      <c r="C174" s="30">
        <v>303004</v>
      </c>
      <c r="D174" s="21" t="s">
        <v>183</v>
      </c>
      <c r="E174" s="26" t="s">
        <v>159</v>
      </c>
      <c r="F174" s="7">
        <v>0</v>
      </c>
    </row>
    <row r="175" spans="1:6" x14ac:dyDescent="0.3">
      <c r="A175" s="23" t="s">
        <v>189</v>
      </c>
      <c r="B175" s="29">
        <v>3</v>
      </c>
      <c r="C175" s="30">
        <v>303005</v>
      </c>
      <c r="D175" s="21" t="s">
        <v>184</v>
      </c>
      <c r="E175" s="26" t="s">
        <v>160</v>
      </c>
      <c r="F175" s="7">
        <v>0</v>
      </c>
    </row>
    <row r="176" spans="1:6" x14ac:dyDescent="0.3">
      <c r="A176" s="23" t="s">
        <v>189</v>
      </c>
      <c r="B176" s="29">
        <v>3</v>
      </c>
      <c r="C176" s="30">
        <v>303006</v>
      </c>
      <c r="D176" s="21" t="s">
        <v>185</v>
      </c>
      <c r="E176" s="26" t="s">
        <v>161</v>
      </c>
      <c r="F176" s="7">
        <v>0</v>
      </c>
    </row>
    <row r="177" spans="1:6" x14ac:dyDescent="0.3">
      <c r="A177" s="23" t="s">
        <v>189</v>
      </c>
      <c r="B177" s="29">
        <v>3</v>
      </c>
      <c r="C177" s="30">
        <v>303007</v>
      </c>
      <c r="D177" s="21" t="s">
        <v>186</v>
      </c>
      <c r="E177" s="26" t="s">
        <v>162</v>
      </c>
      <c r="F177" s="7">
        <v>0</v>
      </c>
    </row>
    <row r="178" spans="1:6" x14ac:dyDescent="0.3">
      <c r="A178" s="23" t="s">
        <v>189</v>
      </c>
      <c r="B178" s="29">
        <v>3</v>
      </c>
      <c r="C178" s="30">
        <v>303008</v>
      </c>
      <c r="D178" s="21" t="s">
        <v>187</v>
      </c>
      <c r="E178" s="26" t="s">
        <v>163</v>
      </c>
      <c r="F178" s="7">
        <v>0</v>
      </c>
    </row>
    <row r="179" spans="1:6" x14ac:dyDescent="0.3">
      <c r="A179" s="23" t="s">
        <v>189</v>
      </c>
      <c r="B179" s="29">
        <v>3</v>
      </c>
      <c r="C179" s="30">
        <v>303009</v>
      </c>
      <c r="D179" s="21" t="s">
        <v>188</v>
      </c>
      <c r="E179" s="26" t="s">
        <v>164</v>
      </c>
      <c r="F179" s="7">
        <v>0</v>
      </c>
    </row>
    <row r="180" spans="1:6" x14ac:dyDescent="0.3">
      <c r="A180" s="34" t="s">
        <v>10</v>
      </c>
      <c r="B180" s="26">
        <v>3</v>
      </c>
      <c r="C180" s="30">
        <v>303010</v>
      </c>
      <c r="D180" s="21" t="s">
        <v>188</v>
      </c>
      <c r="E180" s="26" t="s">
        <v>411</v>
      </c>
      <c r="F180" s="7">
        <v>0</v>
      </c>
    </row>
    <row r="181" spans="1:6" x14ac:dyDescent="0.3">
      <c r="A181" s="34" t="s">
        <v>10</v>
      </c>
      <c r="B181" s="26">
        <v>3</v>
      </c>
      <c r="C181" s="30">
        <v>303011</v>
      </c>
      <c r="D181" s="21"/>
      <c r="E181" s="26" t="s">
        <v>678</v>
      </c>
      <c r="F181" s="7">
        <v>0</v>
      </c>
    </row>
    <row r="182" spans="1:6" x14ac:dyDescent="0.3">
      <c r="A182" s="34" t="s">
        <v>10</v>
      </c>
      <c r="B182" s="26">
        <v>3</v>
      </c>
      <c r="C182" s="24">
        <v>304001</v>
      </c>
      <c r="D182" s="21" t="s">
        <v>290</v>
      </c>
      <c r="E182" s="26" t="s">
        <v>276</v>
      </c>
      <c r="F182" s="7">
        <v>0</v>
      </c>
    </row>
    <row r="183" spans="1:6" x14ac:dyDescent="0.3">
      <c r="A183" s="34" t="s">
        <v>10</v>
      </c>
      <c r="B183" s="26">
        <v>3</v>
      </c>
      <c r="C183" s="24">
        <v>304002</v>
      </c>
      <c r="D183" s="21" t="s">
        <v>291</v>
      </c>
      <c r="E183" s="26" t="s">
        <v>277</v>
      </c>
      <c r="F183" s="7">
        <v>0</v>
      </c>
    </row>
    <row r="184" spans="1:6" x14ac:dyDescent="0.3">
      <c r="A184" s="34" t="s">
        <v>10</v>
      </c>
      <c r="B184" s="26">
        <v>3</v>
      </c>
      <c r="C184" s="24">
        <v>304003</v>
      </c>
      <c r="D184" s="21" t="s">
        <v>292</v>
      </c>
      <c r="E184" s="26" t="s">
        <v>278</v>
      </c>
      <c r="F184" s="7">
        <v>0</v>
      </c>
    </row>
    <row r="185" spans="1:6" x14ac:dyDescent="0.3">
      <c r="A185" s="34" t="s">
        <v>10</v>
      </c>
      <c r="B185" s="26">
        <v>3</v>
      </c>
      <c r="C185" s="24">
        <v>304004</v>
      </c>
      <c r="D185" s="21" t="s">
        <v>293</v>
      </c>
      <c r="E185" s="26" t="s">
        <v>279</v>
      </c>
      <c r="F185" s="7">
        <v>0</v>
      </c>
    </row>
    <row r="186" spans="1:6" x14ac:dyDescent="0.3">
      <c r="A186" s="34" t="s">
        <v>10</v>
      </c>
      <c r="B186" s="26">
        <v>3</v>
      </c>
      <c r="C186" s="24">
        <v>304006</v>
      </c>
      <c r="D186" s="21" t="s">
        <v>294</v>
      </c>
      <c r="E186" s="26" t="s">
        <v>280</v>
      </c>
      <c r="F186" s="7">
        <v>0</v>
      </c>
    </row>
    <row r="187" spans="1:6" x14ac:dyDescent="0.3">
      <c r="A187" s="34" t="s">
        <v>10</v>
      </c>
      <c r="B187" s="26">
        <v>3</v>
      </c>
      <c r="C187" s="24">
        <v>304007</v>
      </c>
      <c r="D187" s="21" t="s">
        <v>295</v>
      </c>
      <c r="E187" s="26" t="s">
        <v>281</v>
      </c>
      <c r="F187" s="7">
        <v>0</v>
      </c>
    </row>
    <row r="188" spans="1:6" x14ac:dyDescent="0.3">
      <c r="A188" s="34" t="s">
        <v>10</v>
      </c>
      <c r="B188" s="26">
        <v>3</v>
      </c>
      <c r="C188" s="24">
        <v>304008</v>
      </c>
      <c r="D188" s="21" t="s">
        <v>296</v>
      </c>
      <c r="E188" s="26" t="s">
        <v>282</v>
      </c>
      <c r="F188" s="7">
        <v>0</v>
      </c>
    </row>
    <row r="189" spans="1:6" x14ac:dyDescent="0.3">
      <c r="A189" s="34" t="s">
        <v>10</v>
      </c>
      <c r="B189" s="26">
        <v>3</v>
      </c>
      <c r="C189" s="24">
        <v>304009</v>
      </c>
      <c r="D189" s="21" t="s">
        <v>297</v>
      </c>
      <c r="E189" s="26" t="s">
        <v>283</v>
      </c>
      <c r="F189" s="7">
        <v>0</v>
      </c>
    </row>
    <row r="190" spans="1:6" x14ac:dyDescent="0.3">
      <c r="A190" s="34" t="s">
        <v>10</v>
      </c>
      <c r="B190" s="26">
        <v>3</v>
      </c>
      <c r="C190" s="24">
        <v>304010</v>
      </c>
      <c r="D190" s="21" t="s">
        <v>297</v>
      </c>
      <c r="E190" s="26" t="s">
        <v>412</v>
      </c>
      <c r="F190" s="7">
        <v>0</v>
      </c>
    </row>
    <row r="191" spans="1:6" x14ac:dyDescent="0.3">
      <c r="A191" s="34" t="s">
        <v>10</v>
      </c>
      <c r="B191" s="26">
        <v>3</v>
      </c>
      <c r="C191" s="170">
        <v>310001</v>
      </c>
      <c r="E191" s="26" t="s">
        <v>792</v>
      </c>
      <c r="F191" s="7">
        <v>0</v>
      </c>
    </row>
    <row r="192" spans="1:6" x14ac:dyDescent="0.3">
      <c r="A192" s="34" t="s">
        <v>10</v>
      </c>
      <c r="B192" s="26">
        <v>3</v>
      </c>
      <c r="C192" s="170">
        <v>311001</v>
      </c>
      <c r="E192" s="26" t="s">
        <v>793</v>
      </c>
      <c r="F192" s="7">
        <v>0</v>
      </c>
    </row>
  </sheetData>
  <autoFilter ref="A1:XFD180" xr:uid="{00000000-0009-0000-0000-000000000000}">
    <sortState xmlns:xlrd2="http://schemas.microsoft.com/office/spreadsheetml/2017/richdata2" ref="C2:C314">
      <sortCondition ref="C1:C314"/>
    </sortState>
  </autoFilter>
  <phoneticPr fontId="10" type="noConversion"/>
  <pageMargins left="0.51180599999999998" right="0.51180599999999998" top="0.78749999999999998" bottom="0.78749999999999998" header="0.315278" footer="0.315278"/>
  <pageSetup paperSize="9" scale="1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10"/>
  <sheetViews>
    <sheetView topLeftCell="A38" workbookViewId="0">
      <pane xSplit="3" topLeftCell="D1" activePane="topRight" state="frozen"/>
      <selection activeCell="A48" sqref="A48"/>
      <selection pane="topRight" activeCell="C18" sqref="C18"/>
    </sheetView>
  </sheetViews>
  <sheetFormatPr defaultRowHeight="14.4" x14ac:dyDescent="0.3"/>
  <cols>
    <col min="1" max="1" width="12.88671875" bestFit="1" customWidth="1"/>
    <col min="2" max="2" width="45" bestFit="1" customWidth="1"/>
    <col min="3" max="3" width="9.109375" bestFit="1" customWidth="1"/>
    <col min="4" max="4" width="5.33203125" customWidth="1"/>
    <col min="5" max="5" width="13.6640625" customWidth="1"/>
    <col min="6" max="6" width="45" bestFit="1" customWidth="1"/>
    <col min="7" max="7" width="10.6640625" customWidth="1"/>
    <col min="8" max="8" width="8.6640625" customWidth="1"/>
    <col min="9" max="9" width="13.33203125" bestFit="1" customWidth="1"/>
    <col min="10" max="10" width="31.109375" customWidth="1"/>
    <col min="11" max="11" width="10.6640625" customWidth="1"/>
    <col min="12" max="12" width="8.6640625" customWidth="1"/>
    <col min="13" max="13" width="13.6640625" customWidth="1"/>
    <col min="14" max="14" width="30.5546875" customWidth="1"/>
    <col min="15" max="15" width="10.6640625" customWidth="1"/>
  </cols>
  <sheetData>
    <row r="1" spans="1:15" ht="21.75" customHeight="1" thickBot="1" x14ac:dyDescent="0.35">
      <c r="E1" s="248" t="s">
        <v>458</v>
      </c>
      <c r="F1" s="248"/>
      <c r="G1" s="248"/>
      <c r="H1" s="248"/>
      <c r="I1" s="248"/>
      <c r="J1" s="248"/>
      <c r="K1" s="248"/>
      <c r="L1" s="248"/>
      <c r="M1" s="248"/>
      <c r="N1" s="248"/>
      <c r="O1" s="248"/>
    </row>
    <row r="2" spans="1:15" ht="15" thickBot="1" x14ac:dyDescent="0.35">
      <c r="A2" s="213" t="s">
        <v>2</v>
      </c>
      <c r="B2" s="213" t="s">
        <v>755</v>
      </c>
      <c r="C2" s="213" t="s">
        <v>756</v>
      </c>
      <c r="D2" s="217"/>
      <c r="E2" s="42" t="s">
        <v>2</v>
      </c>
      <c r="F2" s="41" t="s">
        <v>334</v>
      </c>
      <c r="G2" s="3" t="s">
        <v>12</v>
      </c>
      <c r="H2" s="5"/>
      <c r="I2" s="42" t="s">
        <v>2</v>
      </c>
      <c r="J2" s="76" t="s">
        <v>335</v>
      </c>
      <c r="K2" s="36" t="s">
        <v>13</v>
      </c>
      <c r="M2" s="99" t="s">
        <v>2</v>
      </c>
      <c r="N2" s="47" t="s">
        <v>344</v>
      </c>
      <c r="O2" s="101" t="s">
        <v>12</v>
      </c>
    </row>
    <row r="3" spans="1:15" x14ac:dyDescent="0.3">
      <c r="A3" s="193" t="s">
        <v>471</v>
      </c>
      <c r="B3" s="204" t="s">
        <v>472</v>
      </c>
      <c r="C3" s="202">
        <f>Ventiladores!F157+Ventiladores!F162+Ventiladores!F163</f>
        <v>0</v>
      </c>
      <c r="D3" s="217"/>
      <c r="E3" s="77" t="s">
        <v>357</v>
      </c>
      <c r="F3" s="19" t="s">
        <v>14</v>
      </c>
      <c r="G3" s="15">
        <f>SUM(Ventiladores!F2,Ventiladores!F10,Ventiladores!F11,Ventiladores!F65,Ventiladores!F74,Ventiladores!F82,Ventiladores!F83,Ventiladores!F137,Ventiladores!F146,Ventiladores!F154,Ventiladores!F155)</f>
        <v>0</v>
      </c>
      <c r="I3" s="143" t="s">
        <v>350</v>
      </c>
      <c r="J3" s="14" t="s">
        <v>462</v>
      </c>
      <c r="K3" s="37">
        <f>SUM(Ventiladores!F2:F19,Ventiladores!F27:F37)</f>
        <v>0</v>
      </c>
      <c r="M3" s="102">
        <v>1001105001</v>
      </c>
      <c r="N3" s="48" t="s">
        <v>58</v>
      </c>
      <c r="O3" s="103">
        <f>SUM(Ventiladores!F47)</f>
        <v>0</v>
      </c>
    </row>
    <row r="4" spans="1:15" x14ac:dyDescent="0.3">
      <c r="A4" s="201" t="s">
        <v>475</v>
      </c>
      <c r="B4" s="210" t="s">
        <v>476</v>
      </c>
      <c r="C4" s="203">
        <f>Ventiladores!F158</f>
        <v>0</v>
      </c>
      <c r="D4" s="217"/>
      <c r="E4" s="77" t="s">
        <v>358</v>
      </c>
      <c r="F4" s="14" t="s">
        <v>15</v>
      </c>
      <c r="G4" s="17">
        <f>SUM(Ventiladores!F3,Ventiladores!F75,Ventiladores!F147)</f>
        <v>0</v>
      </c>
      <c r="I4" s="143" t="s">
        <v>351</v>
      </c>
      <c r="J4" s="14" t="s">
        <v>461</v>
      </c>
      <c r="K4" s="38">
        <f>SUM(Ventiladores!F74:F91,Ventiladores!F99:F109)</f>
        <v>0</v>
      </c>
      <c r="M4" s="102">
        <v>1001105002</v>
      </c>
      <c r="N4" s="48" t="s">
        <v>59</v>
      </c>
      <c r="O4" s="103">
        <f>SUM(Ventiladores!F48)</f>
        <v>0</v>
      </c>
    </row>
    <row r="5" spans="1:15" x14ac:dyDescent="0.3">
      <c r="A5" s="201" t="s">
        <v>479</v>
      </c>
      <c r="B5" s="210" t="s">
        <v>480</v>
      </c>
      <c r="C5" s="203">
        <f>Ventiladores!F159</f>
        <v>0</v>
      </c>
      <c r="D5" s="217"/>
      <c r="E5" s="77" t="s">
        <v>359</v>
      </c>
      <c r="F5" s="14" t="s">
        <v>324</v>
      </c>
      <c r="G5" s="17">
        <f>SUM(Ventiladores!F4,Ventiladores!F76,Ventiladores!F148,Ventiladores!F61,Ventiladores!F133)</f>
        <v>0</v>
      </c>
      <c r="I5" s="143" t="s">
        <v>683</v>
      </c>
      <c r="J5" s="14" t="s">
        <v>463</v>
      </c>
      <c r="K5" s="38">
        <f>SUM(Ventiladores!F20:F26,Ventiladores!F38:F46,Ventiladores!F54:F60)</f>
        <v>0</v>
      </c>
      <c r="M5" s="102">
        <v>1001105003</v>
      </c>
      <c r="N5" s="48" t="s">
        <v>60</v>
      </c>
      <c r="O5" s="103">
        <f>SUM(Ventiladores!F49)</f>
        <v>0</v>
      </c>
    </row>
    <row r="6" spans="1:15" x14ac:dyDescent="0.3">
      <c r="A6" s="195" t="s">
        <v>487</v>
      </c>
      <c r="B6" s="206" t="s">
        <v>488</v>
      </c>
      <c r="C6" s="203">
        <f>Ventiladores!F161</f>
        <v>0</v>
      </c>
      <c r="D6" s="217"/>
      <c r="E6" s="77" t="s">
        <v>360</v>
      </c>
      <c r="F6" s="14" t="s">
        <v>16</v>
      </c>
      <c r="G6" s="17">
        <f>SUM(Ventiladores!F5,Ventiladores!F62,Ventiladores!F77,Ventiladores!F134,Ventiladores!F149)</f>
        <v>0</v>
      </c>
      <c r="I6" s="143" t="s">
        <v>351</v>
      </c>
      <c r="J6" s="14" t="s">
        <v>464</v>
      </c>
      <c r="K6" s="38">
        <f>SUM(Ventiladores!F92:F98,Ventiladores!F110:F118,Ventiladores!F126:F132)</f>
        <v>0</v>
      </c>
      <c r="M6" s="102">
        <v>1001105007</v>
      </c>
      <c r="N6" s="48" t="s">
        <v>61</v>
      </c>
      <c r="O6" s="103">
        <f>SUM(Ventiladores!F50)</f>
        <v>0</v>
      </c>
    </row>
    <row r="7" spans="1:15" x14ac:dyDescent="0.3">
      <c r="A7" s="195" t="s">
        <v>477</v>
      </c>
      <c r="B7" s="206" t="s">
        <v>478</v>
      </c>
      <c r="C7" s="203">
        <f>Ventiladores!F173+Ventiladores!F148</f>
        <v>0</v>
      </c>
      <c r="D7" s="217"/>
      <c r="E7" s="77" t="s">
        <v>361</v>
      </c>
      <c r="F7" s="14" t="s">
        <v>20</v>
      </c>
      <c r="G7" s="17">
        <f>SUM(Ventiladores!F6,Ventiladores!F78,Ventiladores!F150)</f>
        <v>0</v>
      </c>
      <c r="I7" s="143" t="s">
        <v>349</v>
      </c>
      <c r="J7" s="14" t="s">
        <v>465</v>
      </c>
      <c r="K7" s="38">
        <f>SUM(Ventiladores!F146:F163,Ventiladores!F171:F181)</f>
        <v>0</v>
      </c>
      <c r="M7" s="102">
        <v>1001105008</v>
      </c>
      <c r="N7" s="48" t="s">
        <v>62</v>
      </c>
      <c r="O7" s="103">
        <f>SUM(Ventiladores!F51)</f>
        <v>0</v>
      </c>
    </row>
    <row r="8" spans="1:15" x14ac:dyDescent="0.3">
      <c r="A8" s="195" t="s">
        <v>473</v>
      </c>
      <c r="B8" s="209" t="s">
        <v>474</v>
      </c>
      <c r="C8" s="203">
        <f>Ventiladores!F172+Ventiladores!F147</f>
        <v>0</v>
      </c>
      <c r="D8" s="217"/>
      <c r="E8" s="77" t="s">
        <v>362</v>
      </c>
      <c r="F8" s="14" t="s">
        <v>19</v>
      </c>
      <c r="G8" s="17">
        <f>SUM(Ventiladores!F7,Ventiladores!F79,Ventiladores!F151)</f>
        <v>0</v>
      </c>
      <c r="I8" s="143" t="s">
        <v>349</v>
      </c>
      <c r="J8" s="14" t="s">
        <v>466</v>
      </c>
      <c r="K8" s="38">
        <f>SUM(Ventiladores!F157:F163)</f>
        <v>0</v>
      </c>
      <c r="M8" s="102">
        <v>1001105009</v>
      </c>
      <c r="N8" s="48" t="s">
        <v>63</v>
      </c>
      <c r="O8" s="103">
        <f>SUM(Ventiladores!F52)</f>
        <v>0</v>
      </c>
    </row>
    <row r="9" spans="1:15" ht="15" thickBot="1" x14ac:dyDescent="0.35">
      <c r="A9" s="195" t="s">
        <v>485</v>
      </c>
      <c r="B9" s="206" t="s">
        <v>486</v>
      </c>
      <c r="C9" s="203">
        <f>Ventiladores!F178+Ventiladores!F153</f>
        <v>0</v>
      </c>
      <c r="D9" s="217"/>
      <c r="E9" s="77" t="s">
        <v>363</v>
      </c>
      <c r="F9" s="14" t="s">
        <v>325</v>
      </c>
      <c r="G9" s="17">
        <f>SUM(Ventiladores!F8,Ventiladores!F63,Ventiladores!F80,Ventiladores!F135,Ventiladores!F152)</f>
        <v>0</v>
      </c>
      <c r="I9" s="143" t="s">
        <v>349</v>
      </c>
      <c r="J9" s="14" t="s">
        <v>467</v>
      </c>
      <c r="K9" s="38">
        <f>SUM(Ventiladores!F182:F190)</f>
        <v>0</v>
      </c>
      <c r="M9" s="104">
        <v>1001105010</v>
      </c>
      <c r="N9" s="49" t="s">
        <v>399</v>
      </c>
      <c r="O9" s="105">
        <f>SUM(Ventiladores!F53)</f>
        <v>0</v>
      </c>
    </row>
    <row r="10" spans="1:15" ht="15" thickBot="1" x14ac:dyDescent="0.35">
      <c r="A10" s="195" t="s">
        <v>469</v>
      </c>
      <c r="B10" s="206" t="s">
        <v>470</v>
      </c>
      <c r="C10" s="203">
        <f>Ventiladores!F171+Ventiladores!F146+Ventiladores!F179+Ventiladores!F154+Ventiladores!F180+Ventiladores!F155</f>
        <v>0</v>
      </c>
      <c r="D10" s="217"/>
      <c r="E10" s="77" t="s">
        <v>364</v>
      </c>
      <c r="F10" s="14" t="s">
        <v>18</v>
      </c>
      <c r="G10" s="17">
        <f>SUM(Ventiladores!F9,Ventiladores!F81,Ventiladores!F153,Ventiladores!F64,Ventiladores!F136)</f>
        <v>0</v>
      </c>
      <c r="I10" s="143" t="s">
        <v>349</v>
      </c>
      <c r="J10" s="14" t="s">
        <v>468</v>
      </c>
      <c r="K10" s="54">
        <f>SUM(Ventiladores!F164:F170)</f>
        <v>0</v>
      </c>
      <c r="M10" s="245" t="s">
        <v>17</v>
      </c>
      <c r="N10" s="249"/>
      <c r="O10" s="100">
        <f>SUM(O3,O4,O5,O6,O7,O8,O9)</f>
        <v>0</v>
      </c>
    </row>
    <row r="11" spans="1:15" ht="15" thickBot="1" x14ac:dyDescent="0.35">
      <c r="A11" s="195" t="s">
        <v>489</v>
      </c>
      <c r="B11" s="206" t="s">
        <v>490</v>
      </c>
      <c r="C11" s="203">
        <f>Ventiladores!F174+Ventiladores!F149</f>
        <v>0</v>
      </c>
      <c r="D11" s="217"/>
      <c r="E11" s="77" t="s">
        <v>682</v>
      </c>
      <c r="F11" s="14" t="s">
        <v>679</v>
      </c>
      <c r="G11" s="17">
        <f>SUM(Ventiladores!F12,Ventiladores!F84,Ventiladores!F156)</f>
        <v>0</v>
      </c>
      <c r="I11" s="143" t="s">
        <v>441</v>
      </c>
      <c r="J11" s="14" t="s">
        <v>439</v>
      </c>
      <c r="K11" s="37">
        <f>SUM(Ventiladores!F61:F66)</f>
        <v>0</v>
      </c>
    </row>
    <row r="12" spans="1:15" ht="15" thickBot="1" x14ac:dyDescent="0.35">
      <c r="A12" s="195" t="s">
        <v>493</v>
      </c>
      <c r="B12" s="209" t="s">
        <v>494</v>
      </c>
      <c r="C12" s="203">
        <f>Ventiladores!F176+Ventiladores!F151</f>
        <v>0</v>
      </c>
      <c r="D12" s="217"/>
      <c r="E12" s="77" t="s">
        <v>365</v>
      </c>
      <c r="F12" s="14" t="s">
        <v>21</v>
      </c>
      <c r="G12" s="17">
        <f>SUM(Ventiladores!F13,Ventiladores!F18,Ventiladores!F19,Ventiladores!F20,Ventiladores!F25,Ventiladores!F26,Ventiladores!F66,Ventiladores!F85,Ventiladores!F90,Ventiladores!F91,Ventiladores!F92,Ventiladores!F97,Ventiladores!F98,Ventiladores!F157,Ventiladores!F162,Ventiladores!F163,Ventiladores!F164,Ventiladores!F169,Ventiladores!F170)</f>
        <v>0</v>
      </c>
      <c r="I12" s="143" t="s">
        <v>442</v>
      </c>
      <c r="J12" s="14" t="s">
        <v>440</v>
      </c>
      <c r="K12" s="38">
        <f>SUM(Ventiladores!F133:F138)</f>
        <v>0</v>
      </c>
      <c r="M12" s="42" t="s">
        <v>2</v>
      </c>
      <c r="N12" s="47" t="s">
        <v>346</v>
      </c>
      <c r="O12" s="101" t="s">
        <v>13</v>
      </c>
    </row>
    <row r="13" spans="1:15" ht="15" thickBot="1" x14ac:dyDescent="0.35">
      <c r="A13" s="195" t="s">
        <v>481</v>
      </c>
      <c r="B13" s="206" t="s">
        <v>482</v>
      </c>
      <c r="C13" s="203">
        <f>Ventiladores!F177+Ventiladores!F152</f>
        <v>0</v>
      </c>
      <c r="D13" s="217"/>
      <c r="E13" s="77" t="s">
        <v>366</v>
      </c>
      <c r="F13" s="14" t="s">
        <v>22</v>
      </c>
      <c r="G13" s="17">
        <f>SUM(Ventiladores!F14,Ventiladores!F21,Ventiladores!F86,Ventiladores!F93,Ventiladores!F158,Ventiladores!F165)</f>
        <v>0</v>
      </c>
      <c r="I13" s="243" t="s">
        <v>17</v>
      </c>
      <c r="J13" s="244"/>
      <c r="K13" s="55">
        <f>SUM(K3,K4,K9,K10,K11,K12)</f>
        <v>0</v>
      </c>
      <c r="M13" s="106">
        <v>1001106001</v>
      </c>
      <c r="N13" s="48" t="s">
        <v>204</v>
      </c>
      <c r="O13" s="103">
        <f>SUM(Ventiladores!F54)</f>
        <v>0</v>
      </c>
    </row>
    <row r="14" spans="1:15" ht="15" thickBot="1" x14ac:dyDescent="0.35">
      <c r="A14" s="195" t="s">
        <v>491</v>
      </c>
      <c r="B14" s="206" t="s">
        <v>492</v>
      </c>
      <c r="C14" s="203">
        <f>Ventiladores!F175+Ventiladores!F150</f>
        <v>0</v>
      </c>
      <c r="D14" s="217"/>
      <c r="E14" s="77" t="s">
        <v>367</v>
      </c>
      <c r="F14" s="14" t="s">
        <v>24</v>
      </c>
      <c r="G14" s="17">
        <f>SUM(Ventiladores!F15,Ventiladores!F22,Ventiladores!F87,Ventiladores!F94,Ventiladores!F159,Ventiladores!F166)</f>
        <v>0</v>
      </c>
      <c r="I14" s="69"/>
      <c r="J14" s="69"/>
      <c r="K14" s="43"/>
      <c r="M14" s="106">
        <v>1001106002</v>
      </c>
      <c r="N14" s="48" t="s">
        <v>205</v>
      </c>
      <c r="O14" s="103">
        <f>SUM(Ventiladores!F55)</f>
        <v>0</v>
      </c>
    </row>
    <row r="15" spans="1:15" ht="15" thickBot="1" x14ac:dyDescent="0.35">
      <c r="A15" s="195" t="s">
        <v>483</v>
      </c>
      <c r="B15" s="206" t="s">
        <v>484</v>
      </c>
      <c r="C15" s="203">
        <f>Ventiladores!F160</f>
        <v>0</v>
      </c>
      <c r="D15" s="217"/>
      <c r="E15" s="77" t="s">
        <v>368</v>
      </c>
      <c r="F15" s="14" t="s">
        <v>326</v>
      </c>
      <c r="G15" s="17">
        <f>SUM(Ventiladores!F16,Ventiladores!F23,Ventiladores!F88,Ventiladores!F95,Ventiladores!F160,Ventiladores!F167)</f>
        <v>0</v>
      </c>
      <c r="I15" s="94" t="s">
        <v>2</v>
      </c>
      <c r="J15" s="41" t="s">
        <v>343</v>
      </c>
      <c r="K15" s="36" t="s">
        <v>31</v>
      </c>
      <c r="M15" s="106">
        <v>1001106003</v>
      </c>
      <c r="N15" s="48" t="s">
        <v>206</v>
      </c>
      <c r="O15" s="103">
        <f>SUM(Ventiladores!F56)</f>
        <v>0</v>
      </c>
    </row>
    <row r="16" spans="1:15" ht="15" thickBot="1" x14ac:dyDescent="0.35">
      <c r="A16" s="197" t="s">
        <v>539</v>
      </c>
      <c r="B16" s="207" t="s">
        <v>540</v>
      </c>
      <c r="C16" s="203">
        <f>Ventiladores!F86</f>
        <v>0</v>
      </c>
      <c r="D16" s="217"/>
      <c r="E16" s="75" t="s">
        <v>369</v>
      </c>
      <c r="F16" s="14" t="s">
        <v>25</v>
      </c>
      <c r="G16" s="17">
        <f>SUM(Ventiladores!F17,Ventiladores!F24,Ventiladores!F89,Ventiladores!F96,Ventiladores!F161,Ventiladores!F168)</f>
        <v>0</v>
      </c>
      <c r="I16" s="77" t="s">
        <v>352</v>
      </c>
      <c r="J16" s="59" t="s">
        <v>302</v>
      </c>
      <c r="K16" s="115">
        <f>SUM(O3,O8,O9,O13,O18,O19,O23,O28,O29,O33,O38,O39)</f>
        <v>0</v>
      </c>
      <c r="M16" s="106">
        <v>1001106007</v>
      </c>
      <c r="N16" s="48" t="s">
        <v>207</v>
      </c>
      <c r="O16" s="103">
        <f>SUM(Ventiladores!F57)</f>
        <v>0</v>
      </c>
    </row>
    <row r="17" spans="1:15" ht="15" thickBot="1" x14ac:dyDescent="0.35">
      <c r="A17" s="195" t="s">
        <v>533</v>
      </c>
      <c r="B17" s="206" t="s">
        <v>534</v>
      </c>
      <c r="C17" s="203">
        <f>Ventiladores!F85+Ventiladores!F90+Ventiladores!F91</f>
        <v>0</v>
      </c>
      <c r="D17" s="217"/>
      <c r="E17" s="243" t="s">
        <v>17</v>
      </c>
      <c r="F17" s="244"/>
      <c r="G17" s="44">
        <f>SUM(G3,G4,G5,G6,G7,G8,G9,G10,G12,G13,G14,G15,G16)</f>
        <v>0</v>
      </c>
      <c r="I17" s="77" t="s">
        <v>353</v>
      </c>
      <c r="J17" s="60" t="s">
        <v>303</v>
      </c>
      <c r="K17" s="116">
        <f>SUM(O4,O14,O24,O34)</f>
        <v>0</v>
      </c>
      <c r="M17" s="106">
        <v>1001106008</v>
      </c>
      <c r="N17" s="48" t="s">
        <v>208</v>
      </c>
      <c r="O17" s="103">
        <f>SUM(Ventiladores!F58)</f>
        <v>0</v>
      </c>
    </row>
    <row r="18" spans="1:15" ht="15" thickBot="1" x14ac:dyDescent="0.35">
      <c r="A18" s="197" t="s">
        <v>557</v>
      </c>
      <c r="B18" s="208" t="s">
        <v>558</v>
      </c>
      <c r="C18" s="203">
        <f>Ventiladores!F89</f>
        <v>0</v>
      </c>
      <c r="D18" s="217"/>
      <c r="E18" s="69"/>
      <c r="F18" s="69"/>
      <c r="G18" s="70"/>
      <c r="H18" t="s">
        <v>23</v>
      </c>
      <c r="I18" s="77" t="s">
        <v>354</v>
      </c>
      <c r="J18" s="60" t="s">
        <v>304</v>
      </c>
      <c r="K18" s="116">
        <f>SUM(O5,O15,O25,O35)</f>
        <v>0</v>
      </c>
      <c r="M18" s="107">
        <v>1001106009</v>
      </c>
      <c r="N18" s="48" t="s">
        <v>209</v>
      </c>
      <c r="O18" s="103">
        <f>SUM(Ventiladores!F59)</f>
        <v>0</v>
      </c>
    </row>
    <row r="19" spans="1:15" ht="15" thickBot="1" x14ac:dyDescent="0.35">
      <c r="A19" s="197" t="s">
        <v>545</v>
      </c>
      <c r="B19" s="207" t="s">
        <v>546</v>
      </c>
      <c r="C19" s="203">
        <f>Ventiladores!F87</f>
        <v>0</v>
      </c>
      <c r="D19" s="216"/>
      <c r="E19" s="78" t="s">
        <v>2</v>
      </c>
      <c r="F19" s="39" t="s">
        <v>336</v>
      </c>
      <c r="G19" s="40" t="s">
        <v>12</v>
      </c>
      <c r="I19" s="77" t="s">
        <v>355</v>
      </c>
      <c r="J19" s="60" t="s">
        <v>306</v>
      </c>
      <c r="K19" s="116">
        <f>SUM(O6,O16,O26,O36)</f>
        <v>0</v>
      </c>
      <c r="M19" s="108">
        <v>1001106010</v>
      </c>
      <c r="N19" s="92" t="s">
        <v>400</v>
      </c>
      <c r="O19" s="74">
        <f>SUM(Ventiladores!F60)</f>
        <v>0</v>
      </c>
    </row>
    <row r="20" spans="1:15" ht="15" thickBot="1" x14ac:dyDescent="0.35">
      <c r="A20" s="197" t="s">
        <v>543</v>
      </c>
      <c r="B20" s="207" t="s">
        <v>544</v>
      </c>
      <c r="C20" s="203">
        <f>Ventiladores!F76+Ventiladores!F101</f>
        <v>0</v>
      </c>
      <c r="D20" s="216"/>
      <c r="E20" s="77" t="s">
        <v>370</v>
      </c>
      <c r="F20" s="13" t="s">
        <v>328</v>
      </c>
      <c r="G20" s="53">
        <f>SUM(Ventiladores!F13:F19,Ventiladores!F66)</f>
        <v>0</v>
      </c>
      <c r="I20" s="77" t="s">
        <v>356</v>
      </c>
      <c r="J20" s="60" t="s">
        <v>305</v>
      </c>
      <c r="K20" s="116">
        <f>SUM(O7,O17,O27,O37)</f>
        <v>0</v>
      </c>
      <c r="M20" s="245" t="s">
        <v>17</v>
      </c>
      <c r="N20" s="249"/>
      <c r="O20" s="100">
        <f>SUM(O13,O14,O15,O16,O17,O18,O19)</f>
        <v>0</v>
      </c>
    </row>
    <row r="21" spans="1:15" ht="15" thickBot="1" x14ac:dyDescent="0.35">
      <c r="A21" s="197" t="s">
        <v>537</v>
      </c>
      <c r="B21" s="207" t="s">
        <v>538</v>
      </c>
      <c r="C21" s="203">
        <f>Ventiladores!F75+Ventiladores!F100</f>
        <v>0</v>
      </c>
      <c r="D21" s="216"/>
      <c r="E21" s="77" t="s">
        <v>374</v>
      </c>
      <c r="F21" s="13" t="s">
        <v>330</v>
      </c>
      <c r="G21" s="53">
        <f>SUM(Ventiladores!F20:F26)</f>
        <v>0</v>
      </c>
      <c r="I21" s="243" t="s">
        <v>17</v>
      </c>
      <c r="J21" s="247"/>
      <c r="K21" s="117">
        <f>SUM(K16,K17,K18,K19,K20)</f>
        <v>0</v>
      </c>
    </row>
    <row r="22" spans="1:15" ht="15" thickBot="1" x14ac:dyDescent="0.35">
      <c r="A22" s="194" t="s">
        <v>555</v>
      </c>
      <c r="B22" s="205" t="s">
        <v>556</v>
      </c>
      <c r="C22" s="203">
        <f>Ventiladores!F81+Ventiladores!F106</f>
        <v>0</v>
      </c>
      <c r="D22" s="216"/>
      <c r="E22" s="77" t="s">
        <v>371</v>
      </c>
      <c r="F22" s="14" t="s">
        <v>329</v>
      </c>
      <c r="G22" s="53">
        <f>SUM(Ventiladores!F85:F91,Ventiladores!F138)</f>
        <v>0</v>
      </c>
      <c r="M22" s="78" t="s">
        <v>2</v>
      </c>
      <c r="N22" s="93" t="s">
        <v>345</v>
      </c>
      <c r="O22" s="40" t="s">
        <v>13</v>
      </c>
    </row>
    <row r="23" spans="1:15" ht="15" thickBot="1" x14ac:dyDescent="0.35">
      <c r="A23" s="201" t="s">
        <v>531</v>
      </c>
      <c r="B23" s="210" t="s">
        <v>532</v>
      </c>
      <c r="C23" s="203">
        <f>Ventiladores!F74+Ventiladores!F99+Ventiladores!F82+Ventiladores!F107+Ventiladores!F83+Ventiladores!F108</f>
        <v>0</v>
      </c>
      <c r="D23" s="216"/>
      <c r="E23" s="77" t="s">
        <v>375</v>
      </c>
      <c r="F23" s="72" t="s">
        <v>331</v>
      </c>
      <c r="G23" s="73">
        <f>SUM(Ventiladores!F92,Ventiladores!F93,Ventiladores!F94,Ventiladores!F95,Ventiladores!F96,Ventiladores!F97,Ventiladores!F98)</f>
        <v>0</v>
      </c>
      <c r="I23" s="12" t="s">
        <v>2</v>
      </c>
      <c r="J23" s="41" t="s">
        <v>342</v>
      </c>
      <c r="K23" s="62" t="s">
        <v>12</v>
      </c>
      <c r="M23" s="111">
        <v>1001205001</v>
      </c>
      <c r="N23" s="109" t="s">
        <v>118</v>
      </c>
      <c r="O23" s="11">
        <f>SUM(Ventiladores!F119)</f>
        <v>0</v>
      </c>
    </row>
    <row r="24" spans="1:15" x14ac:dyDescent="0.3">
      <c r="A24" s="194" t="s">
        <v>561</v>
      </c>
      <c r="B24" s="205" t="s">
        <v>562</v>
      </c>
      <c r="C24" s="203">
        <f>Ventiladores!F77+Ventiladores!F102</f>
        <v>0</v>
      </c>
      <c r="D24" s="216"/>
      <c r="E24" s="77" t="s">
        <v>372</v>
      </c>
      <c r="F24" s="13" t="s">
        <v>327</v>
      </c>
      <c r="G24" s="52">
        <f>SUM(Ventiladores!F157:F163)</f>
        <v>0</v>
      </c>
      <c r="I24" s="77" t="s">
        <v>382</v>
      </c>
      <c r="J24" s="56" t="s">
        <v>321</v>
      </c>
      <c r="K24" s="68">
        <f>SUM(O3,O13,O23,O33)</f>
        <v>0</v>
      </c>
      <c r="M24" s="112">
        <v>1001205002</v>
      </c>
      <c r="N24" s="110" t="s">
        <v>119</v>
      </c>
      <c r="O24" s="9">
        <f>SUM(Ventiladores!F120)</f>
        <v>0</v>
      </c>
    </row>
    <row r="25" spans="1:15" ht="15" thickBot="1" x14ac:dyDescent="0.35">
      <c r="A25" s="197" t="s">
        <v>565</v>
      </c>
      <c r="B25" s="207" t="s">
        <v>566</v>
      </c>
      <c r="C25" s="203">
        <f>Ventiladores!F79+Ventiladores!F104</f>
        <v>0</v>
      </c>
      <c r="D25" s="216"/>
      <c r="E25" s="75" t="s">
        <v>373</v>
      </c>
      <c r="F25" s="13" t="s">
        <v>332</v>
      </c>
      <c r="G25" s="52">
        <f>SUM(Ventiladores!F164:F170)</f>
        <v>0</v>
      </c>
      <c r="I25" s="77" t="s">
        <v>383</v>
      </c>
      <c r="J25" s="56" t="s">
        <v>322</v>
      </c>
      <c r="K25" s="65">
        <f>SUM(O4,O5,O7,O8,O14,O15,O17,O18,O24,O25,O27,O28,O34,O35,O37,O38)</f>
        <v>0</v>
      </c>
      <c r="M25" s="112">
        <v>1001205003</v>
      </c>
      <c r="N25" s="110" t="s">
        <v>120</v>
      </c>
      <c r="O25" s="9">
        <f>SUM(Ventiladores!F121)</f>
        <v>0</v>
      </c>
    </row>
    <row r="26" spans="1:15" ht="15" thickBot="1" x14ac:dyDescent="0.35">
      <c r="A26" s="195" t="s">
        <v>535</v>
      </c>
      <c r="B26" s="206" t="s">
        <v>536</v>
      </c>
      <c r="C26" s="203">
        <f>Ventiladores!F124+Ventiladores!F125+Ventiladores!F119</f>
        <v>0</v>
      </c>
      <c r="D26" s="216"/>
      <c r="E26" s="243" t="s">
        <v>17</v>
      </c>
      <c r="F26" s="244"/>
      <c r="G26" s="45">
        <f>SUM(G20,G21,G22,G23,G24,G25)</f>
        <v>0</v>
      </c>
      <c r="I26" s="77" t="s">
        <v>384</v>
      </c>
      <c r="J26" s="56" t="s">
        <v>323</v>
      </c>
      <c r="K26" s="89">
        <f>SUM(O6,O16,O26,O36)</f>
        <v>0</v>
      </c>
      <c r="M26" s="112">
        <v>1001205007</v>
      </c>
      <c r="N26" s="110" t="s">
        <v>121</v>
      </c>
      <c r="O26" s="9">
        <f>SUM(Ventiladores!F122)</f>
        <v>0</v>
      </c>
    </row>
    <row r="27" spans="1:15" ht="15" thickBot="1" x14ac:dyDescent="0.35">
      <c r="A27" s="197" t="s">
        <v>541</v>
      </c>
      <c r="B27" s="207" t="s">
        <v>542</v>
      </c>
      <c r="C27" s="203">
        <f>Ventiladores!F120</f>
        <v>0</v>
      </c>
      <c r="D27" s="217"/>
      <c r="I27" s="86" t="s">
        <v>413</v>
      </c>
      <c r="J27" s="87" t="s">
        <v>414</v>
      </c>
      <c r="K27" s="88">
        <f>SUM(O9,O19,O29,O39)</f>
        <v>0</v>
      </c>
      <c r="M27" s="112">
        <v>1001205008</v>
      </c>
      <c r="N27" s="110" t="s">
        <v>122</v>
      </c>
      <c r="O27" s="9">
        <f>SUM(Ventiladores!F123)</f>
        <v>0</v>
      </c>
    </row>
    <row r="28" spans="1:15" ht="15" thickBot="1" x14ac:dyDescent="0.35">
      <c r="A28" s="197" t="s">
        <v>547</v>
      </c>
      <c r="B28" s="205" t="s">
        <v>548</v>
      </c>
      <c r="C28" s="203">
        <f>Ventiladores!F121</f>
        <v>0</v>
      </c>
      <c r="D28" s="216"/>
      <c r="E28" s="42" t="s">
        <v>2</v>
      </c>
      <c r="F28" s="41" t="s">
        <v>337</v>
      </c>
      <c r="G28" s="62" t="s">
        <v>12</v>
      </c>
      <c r="I28" s="243" t="s">
        <v>17</v>
      </c>
      <c r="J28" s="247"/>
      <c r="K28" s="61">
        <f>SUM(K24,K25,K26,K27)</f>
        <v>0</v>
      </c>
      <c r="M28" s="112">
        <v>1001205009</v>
      </c>
      <c r="N28" s="110" t="s">
        <v>123</v>
      </c>
      <c r="O28" s="9">
        <f>SUM(Ventiladores!F124)</f>
        <v>0</v>
      </c>
    </row>
    <row r="29" spans="1:15" ht="15" thickBot="1" x14ac:dyDescent="0.35">
      <c r="A29" s="197" t="s">
        <v>559</v>
      </c>
      <c r="B29" s="207" t="s">
        <v>560</v>
      </c>
      <c r="C29" s="203">
        <f>Ventiladores!F123</f>
        <v>0</v>
      </c>
      <c r="D29" s="216"/>
      <c r="E29" s="77" t="s">
        <v>376</v>
      </c>
      <c r="F29" s="13" t="s">
        <v>27</v>
      </c>
      <c r="G29" s="15">
        <f>SUM(Ventiladores!F27:F46,Ventiladores!F99:F118,Ventiladores!F171:F190)</f>
        <v>0</v>
      </c>
      <c r="M29" s="113">
        <v>1001205010</v>
      </c>
      <c r="N29" s="110" t="s">
        <v>406</v>
      </c>
      <c r="O29" s="90">
        <f>SUM(Ventiladores!F125)</f>
        <v>0</v>
      </c>
    </row>
    <row r="30" spans="1:15" ht="15" thickBot="1" x14ac:dyDescent="0.35">
      <c r="A30" s="197" t="s">
        <v>563</v>
      </c>
      <c r="B30" s="207" t="s">
        <v>564</v>
      </c>
      <c r="C30" s="203">
        <f>Ventiladores!F78+Ventiladores!F103</f>
        <v>0</v>
      </c>
      <c r="D30" s="216"/>
      <c r="E30" s="75" t="s">
        <v>377</v>
      </c>
      <c r="F30" s="79" t="s">
        <v>11</v>
      </c>
      <c r="G30" s="18">
        <f>SUM(Ventiladores!F13:F26,Ventiladores!F47:F53,Ventiladores!F53,Ventiladores!F54:F60,Ventiladores!F66,Ventiladores!F85:F98,Ventiladores!F119:F132,Ventiladores!F138,Ventiladores!F157:F170)</f>
        <v>0</v>
      </c>
      <c r="I30" s="12" t="s">
        <v>2</v>
      </c>
      <c r="J30" s="41" t="s">
        <v>341</v>
      </c>
      <c r="K30" s="62" t="s">
        <v>12</v>
      </c>
      <c r="M30" s="243" t="s">
        <v>17</v>
      </c>
      <c r="N30" s="244"/>
      <c r="O30" s="6">
        <f>SUM(O23,O24,O25,O26,O27,O28,O29)</f>
        <v>0</v>
      </c>
    </row>
    <row r="31" spans="1:15" ht="15" thickBot="1" x14ac:dyDescent="0.35">
      <c r="A31" s="197" t="s">
        <v>549</v>
      </c>
      <c r="B31" s="207" t="s">
        <v>550</v>
      </c>
      <c r="C31" s="203">
        <f>Ventiladores!F80+Ventiladores!F105</f>
        <v>0</v>
      </c>
      <c r="D31" s="216"/>
      <c r="E31" s="243" t="s">
        <v>17</v>
      </c>
      <c r="F31" s="244"/>
      <c r="G31" s="44">
        <f>SUM(G29,G30)</f>
        <v>0</v>
      </c>
      <c r="I31" s="82" t="s">
        <v>385</v>
      </c>
      <c r="J31" s="57" t="s">
        <v>298</v>
      </c>
      <c r="K31" s="65">
        <f>SUM(O10)</f>
        <v>0</v>
      </c>
    </row>
    <row r="32" spans="1:15" ht="15" thickBot="1" x14ac:dyDescent="0.35">
      <c r="A32" s="197" t="s">
        <v>551</v>
      </c>
      <c r="B32" s="207" t="s">
        <v>552</v>
      </c>
      <c r="C32" s="203">
        <f>Ventiladores!F88</f>
        <v>0</v>
      </c>
      <c r="D32" s="217"/>
      <c r="I32" s="82" t="s">
        <v>387</v>
      </c>
      <c r="J32" s="58" t="s">
        <v>300</v>
      </c>
      <c r="K32" s="65">
        <f>SUM(O20)</f>
        <v>0</v>
      </c>
      <c r="M32" s="114" t="s">
        <v>2</v>
      </c>
      <c r="N32" s="47" t="s">
        <v>347</v>
      </c>
      <c r="O32" s="46" t="s">
        <v>12</v>
      </c>
    </row>
    <row r="33" spans="1:15" ht="15" thickBot="1" x14ac:dyDescent="0.35">
      <c r="A33" s="196" t="s">
        <v>553</v>
      </c>
      <c r="B33" s="207" t="s">
        <v>554</v>
      </c>
      <c r="C33" s="203">
        <f>Ventiladores!F122</f>
        <v>0</v>
      </c>
      <c r="D33" s="216"/>
      <c r="E33" s="42" t="s">
        <v>2</v>
      </c>
      <c r="F33" s="41" t="s">
        <v>338</v>
      </c>
      <c r="G33" s="62" t="s">
        <v>12</v>
      </c>
      <c r="I33" s="82" t="s">
        <v>386</v>
      </c>
      <c r="J33" s="58" t="s">
        <v>299</v>
      </c>
      <c r="K33" s="65">
        <f>SUM(O30)</f>
        <v>0</v>
      </c>
      <c r="M33" s="111">
        <v>1001206001</v>
      </c>
      <c r="N33" s="48" t="s">
        <v>244</v>
      </c>
      <c r="O33" s="14">
        <f>SUM(Ventiladores!F126)</f>
        <v>0</v>
      </c>
    </row>
    <row r="34" spans="1:15" ht="15" thickBot="1" x14ac:dyDescent="0.35">
      <c r="A34" s="195" t="s">
        <v>497</v>
      </c>
      <c r="B34" s="206" t="s">
        <v>498</v>
      </c>
      <c r="C34" s="203">
        <f>Ventiladores!F19</f>
        <v>0</v>
      </c>
      <c r="D34" s="216"/>
      <c r="E34" s="75" t="s">
        <v>378</v>
      </c>
      <c r="F34" s="74" t="s">
        <v>444</v>
      </c>
      <c r="G34" s="51">
        <f>SUM(Ventiladores!F2:F60,Ventiladores!F74:F132,Ventiladores!F146:F190)</f>
        <v>0</v>
      </c>
      <c r="I34" s="82" t="s">
        <v>388</v>
      </c>
      <c r="J34" s="71" t="s">
        <v>301</v>
      </c>
      <c r="K34" s="68">
        <f>SUM(O40)</f>
        <v>0</v>
      </c>
      <c r="M34" s="112">
        <v>1001206002</v>
      </c>
      <c r="N34" s="48" t="s">
        <v>245</v>
      </c>
      <c r="O34" s="14">
        <f>SUM(Ventiladores!F127)</f>
        <v>0</v>
      </c>
    </row>
    <row r="35" spans="1:15" ht="15" thickBot="1" x14ac:dyDescent="0.35">
      <c r="A35" s="195" t="s">
        <v>503</v>
      </c>
      <c r="B35" s="206" t="s">
        <v>504</v>
      </c>
      <c r="C35" s="203">
        <f>Ventiladores!F14</f>
        <v>0</v>
      </c>
      <c r="D35" s="216"/>
      <c r="E35" s="152" t="s">
        <v>443</v>
      </c>
      <c r="F35" s="74" t="s">
        <v>445</v>
      </c>
      <c r="G35" s="51">
        <f>SUM(Ventiladores!F61:F66,Ventiladores!F133:F138)</f>
        <v>0</v>
      </c>
      <c r="I35" s="243" t="s">
        <v>17</v>
      </c>
      <c r="J35" s="244"/>
      <c r="K35" s="67">
        <f>SUM(K31,K32,K33,K34)</f>
        <v>0</v>
      </c>
      <c r="M35" s="112">
        <v>1001206003</v>
      </c>
      <c r="N35" s="48" t="s">
        <v>246</v>
      </c>
      <c r="O35" s="14">
        <f>SUM(Ventiladores!F128)</f>
        <v>0</v>
      </c>
    </row>
    <row r="36" spans="1:15" ht="15" thickBot="1" x14ac:dyDescent="0.35">
      <c r="A36" s="195" t="s">
        <v>521</v>
      </c>
      <c r="B36" s="206" t="s">
        <v>522</v>
      </c>
      <c r="C36" s="203">
        <f>Ventiladores!F17</f>
        <v>0</v>
      </c>
      <c r="D36" s="216"/>
      <c r="E36" s="243" t="s">
        <v>17</v>
      </c>
      <c r="F36" s="244"/>
      <c r="G36" s="51">
        <f>SUM(G34/300)</f>
        <v>0</v>
      </c>
      <c r="M36" s="112">
        <v>1001206007</v>
      </c>
      <c r="N36" s="48" t="s">
        <v>247</v>
      </c>
      <c r="O36" s="14">
        <f>SUM(Ventiladores!F129)</f>
        <v>0</v>
      </c>
    </row>
    <row r="37" spans="1:15" ht="15" thickBot="1" x14ac:dyDescent="0.35">
      <c r="A37" s="195" t="s">
        <v>509</v>
      </c>
      <c r="B37" s="206" t="s">
        <v>510</v>
      </c>
      <c r="C37" s="203">
        <f>Ventiladores!F15</f>
        <v>0</v>
      </c>
      <c r="D37" s="217"/>
      <c r="I37" s="42" t="s">
        <v>2</v>
      </c>
      <c r="J37" s="83" t="s">
        <v>340</v>
      </c>
      <c r="K37" s="62" t="s">
        <v>12</v>
      </c>
      <c r="M37" s="112">
        <v>1001206008</v>
      </c>
      <c r="N37" s="48" t="s">
        <v>248</v>
      </c>
      <c r="O37" s="14">
        <f>SUM(Ventiladores!F130)</f>
        <v>0</v>
      </c>
    </row>
    <row r="38" spans="1:15" ht="15" thickBot="1" x14ac:dyDescent="0.35">
      <c r="A38" s="195" t="s">
        <v>507</v>
      </c>
      <c r="B38" s="206" t="s">
        <v>508</v>
      </c>
      <c r="C38" s="203">
        <f>Ventiladores!F4+Ventiladores!F29</f>
        <v>0</v>
      </c>
      <c r="D38" s="216"/>
      <c r="E38" s="12" t="s">
        <v>2</v>
      </c>
      <c r="F38" s="8" t="s">
        <v>339</v>
      </c>
      <c r="G38" s="3" t="s">
        <v>333</v>
      </c>
      <c r="I38" s="77" t="s">
        <v>389</v>
      </c>
      <c r="J38" s="84" t="s">
        <v>320</v>
      </c>
      <c r="K38" s="63">
        <f>SUM(Ventiladores!F2:F190)*2</f>
        <v>0</v>
      </c>
      <c r="M38" s="112">
        <v>1001206009</v>
      </c>
      <c r="N38" s="48" t="s">
        <v>249</v>
      </c>
      <c r="O38" s="14">
        <f>SUM(Ventiladores!F131)</f>
        <v>0</v>
      </c>
    </row>
    <row r="39" spans="1:15" ht="15" thickBot="1" x14ac:dyDescent="0.35">
      <c r="A39" s="201" t="s">
        <v>501</v>
      </c>
      <c r="B39" s="210" t="s">
        <v>502</v>
      </c>
      <c r="C39" s="203">
        <f>Ventiladores!F3+Ventiladores!F28</f>
        <v>0</v>
      </c>
      <c r="D39" s="216"/>
      <c r="E39" s="81" t="s">
        <v>379</v>
      </c>
      <c r="F39" s="10" t="s">
        <v>392</v>
      </c>
      <c r="G39" s="16">
        <f>SUM(Ventiladores!F146:F155,Ventiladores!F171:F180)</f>
        <v>0</v>
      </c>
      <c r="I39" s="75" t="s">
        <v>390</v>
      </c>
      <c r="J39" s="85" t="s">
        <v>28</v>
      </c>
      <c r="K39" s="64">
        <f>SUM(Ventiladores!F2:F190)</f>
        <v>0</v>
      </c>
      <c r="M39" s="113">
        <v>1001206010</v>
      </c>
      <c r="N39" s="92" t="s">
        <v>407</v>
      </c>
      <c r="O39" s="91">
        <f>SUM(Ventiladores!F132)</f>
        <v>0</v>
      </c>
    </row>
    <row r="40" spans="1:15" ht="15" thickBot="1" x14ac:dyDescent="0.35">
      <c r="A40" s="201" t="s">
        <v>519</v>
      </c>
      <c r="B40" s="210" t="s">
        <v>520</v>
      </c>
      <c r="C40" s="203">
        <f>Ventiladores!F9+Ventiladores!F34</f>
        <v>0</v>
      </c>
      <c r="D40" s="216"/>
      <c r="E40" s="82" t="s">
        <v>380</v>
      </c>
      <c r="F40" s="11" t="s">
        <v>393</v>
      </c>
      <c r="G40" s="15">
        <f>SUM(Ventiladores!F182:F190)</f>
        <v>0</v>
      </c>
      <c r="I40" s="245" t="s">
        <v>17</v>
      </c>
      <c r="J40" s="246"/>
      <c r="K40" s="66">
        <f>SUM(K38,K39)</f>
        <v>0</v>
      </c>
      <c r="M40" s="243" t="s">
        <v>17</v>
      </c>
      <c r="N40" s="244"/>
      <c r="O40" s="6">
        <f>SUM(O33,O34,O35,O36,O37,O38,O39)</f>
        <v>0</v>
      </c>
    </row>
    <row r="41" spans="1:15" ht="15" thickBot="1" x14ac:dyDescent="0.35">
      <c r="A41" s="201" t="s">
        <v>495</v>
      </c>
      <c r="B41" s="210" t="s">
        <v>496</v>
      </c>
      <c r="C41" s="203">
        <f>Ventiladores!F2+Ventiladores!F27+Ventiladores!F10+Ventiladores!F35+Ventiladores!F11+Ventiladores!F36</f>
        <v>0</v>
      </c>
      <c r="D41" s="216"/>
      <c r="E41" s="82" t="s">
        <v>381</v>
      </c>
      <c r="F41" s="9" t="s">
        <v>418</v>
      </c>
      <c r="G41" s="118">
        <f>SUM(Ventiladores!F146:F190)</f>
        <v>0</v>
      </c>
    </row>
    <row r="42" spans="1:15" ht="15" thickBot="1" x14ac:dyDescent="0.35">
      <c r="A42" s="201" t="s">
        <v>525</v>
      </c>
      <c r="B42" s="210" t="s">
        <v>526</v>
      </c>
      <c r="C42" s="203">
        <f>Ventiladores!F5+Ventiladores!F30</f>
        <v>0</v>
      </c>
      <c r="D42" s="216"/>
      <c r="E42" s="243" t="s">
        <v>17</v>
      </c>
      <c r="F42" s="244"/>
      <c r="G42" s="119">
        <f>SUM(G39,G40,G41)</f>
        <v>0</v>
      </c>
      <c r="I42" s="12" t="s">
        <v>2</v>
      </c>
      <c r="J42" s="8" t="s">
        <v>415</v>
      </c>
      <c r="K42" s="62" t="s">
        <v>12</v>
      </c>
    </row>
    <row r="43" spans="1:15" x14ac:dyDescent="0.3">
      <c r="A43" s="201" t="s">
        <v>529</v>
      </c>
      <c r="B43" s="210" t="s">
        <v>530</v>
      </c>
      <c r="C43" s="203">
        <f>Ventiladores!F7+Ventiladores!F32</f>
        <v>0</v>
      </c>
      <c r="D43" s="217"/>
      <c r="I43" s="77" t="s">
        <v>391</v>
      </c>
      <c r="J43" s="95" t="s">
        <v>348</v>
      </c>
      <c r="K43" s="96">
        <f>SUM(Ventiladores!F2:F190)/192</f>
        <v>0</v>
      </c>
    </row>
    <row r="44" spans="1:15" x14ac:dyDescent="0.3">
      <c r="A44" s="201" t="s">
        <v>499</v>
      </c>
      <c r="B44" s="210" t="s">
        <v>500</v>
      </c>
      <c r="C44" s="203">
        <f>Ventiladores!F47+Ventiladores!F52+Ventiladores!F53</f>
        <v>0</v>
      </c>
      <c r="D44" s="217"/>
      <c r="I44" s="77" t="s">
        <v>391</v>
      </c>
      <c r="J44" s="97" t="s">
        <v>416</v>
      </c>
      <c r="K44" s="98">
        <f>SUM(Ventiladores!F2,Ventiladores!F3,Ventiladores!F4,Ventiladores!F5,Ventiladores!F6,Ventiladores!F7,Ventiladores!F8,Ventiladores!F9,Ventiladores!F10,Ventiladores!F11,Ventiladores!F13,Ventiladores!F14,Ventiladores!F15,Ventiladores!F16,Ventiladores!F17,Ventiladores!F18,Ventiladores!F19,Ventiladores!F27,Ventiladores!F28,Ventiladores!F29,Ventiladores!F30,Ventiladores!F31,Ventiladores!F32,Ventiladores!F33,Ventiladores!F34,Ventiladores!F35,Ventiladores!F36,Ventiladores!F47,Ventiladores!F48,Ventiladores!F49,Ventiladores!F50,Ventiladores!F51,Ventiladores!F52,Ventiladores!F53,Ventiladores!F74,Ventiladores!F75,Ventiladores!F76,Ventiladores!F77,Ventiladores!F78,Ventiladores!F79,Ventiladores!F80,Ventiladores!F81,Ventiladores!F82,Ventiladores!F83,Ventiladores!F85,Ventiladores!F86,Ventiladores!F87,Ventiladores!F88,Ventiladores!F89,Ventiladores!F90,Ventiladores!F91,Ventiladores!F99,Ventiladores!F100,Ventiladores!F101,Ventiladores!F102,Ventiladores!F103,Ventiladores!F104,Ventiladores!F105,Ventiladores!F106,Ventiladores!F107,Ventiladores!F108,Ventiladores!F119,Ventiladores!F120,Ventiladores!F121,Ventiladores!F122,Ventiladores!F123,Ventiladores!F124,Ventiladores!F125,Ventiladores!F146,Ventiladores!F147,Ventiladores!F148,Ventiladores!F149,Ventiladores!F150,Ventiladores!F151,Ventiladores!F152,Ventiladores!F153,Ventiladores!F154,Ventiladores!F155,Ventiladores!F157,Ventiladores!F158,Ventiladores!F159,Ventiladores!F160,Ventiladores!F161,Ventiladores!F162,Ventiladores!F163,Ventiladores!F171,Ventiladores!F172,Ventiladores!F173,Ventiladores!F174,Ventiladores!F175,Ventiladores!F176,Ventiladores!F177,Ventiladores!F178,Ventiladores!F179,Ventiladores!F180)/10</f>
        <v>0</v>
      </c>
    </row>
    <row r="45" spans="1:15" ht="15" thickBot="1" x14ac:dyDescent="0.35">
      <c r="A45" s="195" t="s">
        <v>505</v>
      </c>
      <c r="B45" s="211" t="s">
        <v>506</v>
      </c>
      <c r="C45" s="203">
        <f>Ventiladores!F48</f>
        <v>0</v>
      </c>
      <c r="D45" s="217"/>
      <c r="I45" s="80" t="s">
        <v>391</v>
      </c>
      <c r="J45" s="50" t="s">
        <v>417</v>
      </c>
      <c r="K45" s="51">
        <f>SUM(Ventiladores!F20,Ventiladores!F21,Ventiladores!F22,Ventiladores!F23,Ventiladores!F24,Ventiladores!F25,Ventiladores!F26,Ventiladores!F38,Ventiladores!F39,Ventiladores!F40,Ventiladores!F41,Ventiladores!F42,Ventiladores!F43,Ventiladores!F44,Ventiladores!F45,Ventiladores!F46,Ventiladores!F54,Ventiladores!F55,Ventiladores!F56,Ventiladores!F57,Ventiladores!F58,Ventiladores!F59,Ventiladores!F60,Ventiladores!F92,Ventiladores!F93,Ventiladores!F94,Ventiladores!F95,Ventiladores!F96,Ventiladores!F97,Ventiladores!F98,Ventiladores!F110,Ventiladores!F111,Ventiladores!F112,Ventiladores!F113,Ventiladores!F114,Ventiladores!F115,Ventiladores!F116,Ventiladores!F117,Ventiladores!F118,Ventiladores!F126,Ventiladores!F127,Ventiladores!F128,Ventiladores!F129,Ventiladores!F130,Ventiladores!F131,Ventiladores!F132,Ventiladores!F164,Ventiladores!F165,Ventiladores!F166,Ventiladores!F167,Ventiladores!F168,Ventiladores!F169,Ventiladores!F170,Ventiladores!F182,Ventiladores!F183,Ventiladores!F184,Ventiladores!F185,Ventiladores!F186,Ventiladores!F187,Ventiladores!F188,Ventiladores!F189,Ventiladores!F190)/10</f>
        <v>0</v>
      </c>
    </row>
    <row r="46" spans="1:15" ht="15" thickBot="1" x14ac:dyDescent="0.35">
      <c r="A46" s="195" t="s">
        <v>511</v>
      </c>
      <c r="B46" s="210" t="s">
        <v>512</v>
      </c>
      <c r="C46" s="203">
        <f>Ventiladores!F49</f>
        <v>0</v>
      </c>
      <c r="D46" s="217"/>
      <c r="I46" s="243" t="s">
        <v>17</v>
      </c>
      <c r="J46" s="244"/>
      <c r="K46" s="51">
        <f>SUM(K43,K44,K45)</f>
        <v>0</v>
      </c>
    </row>
    <row r="47" spans="1:15" x14ac:dyDescent="0.3">
      <c r="A47" s="201" t="s">
        <v>523</v>
      </c>
      <c r="B47" s="210" t="s">
        <v>524</v>
      </c>
      <c r="C47" s="203">
        <f>Ventiladores!F51</f>
        <v>0</v>
      </c>
      <c r="D47" s="217"/>
    </row>
    <row r="48" spans="1:15" x14ac:dyDescent="0.3">
      <c r="A48" s="201" t="s">
        <v>527</v>
      </c>
      <c r="B48" s="210" t="s">
        <v>528</v>
      </c>
      <c r="C48" s="203">
        <f>Ventiladores!F6+Ventiladores!F31</f>
        <v>0</v>
      </c>
      <c r="D48" s="217"/>
    </row>
    <row r="49" spans="1:4" x14ac:dyDescent="0.3">
      <c r="A49" s="195" t="s">
        <v>513</v>
      </c>
      <c r="B49" s="206" t="s">
        <v>514</v>
      </c>
      <c r="C49" s="203">
        <f>Ventiladores!F8+Ventiladores!F33</f>
        <v>0</v>
      </c>
      <c r="D49" s="217"/>
    </row>
    <row r="50" spans="1:4" x14ac:dyDescent="0.3">
      <c r="A50" s="195" t="s">
        <v>515</v>
      </c>
      <c r="B50" s="206" t="s">
        <v>516</v>
      </c>
      <c r="C50" s="203">
        <f>Ventiladores!F16</f>
        <v>0</v>
      </c>
      <c r="D50" s="217"/>
    </row>
    <row r="51" spans="1:4" x14ac:dyDescent="0.3">
      <c r="A51" s="200" t="s">
        <v>517</v>
      </c>
      <c r="B51" s="206" t="s">
        <v>518</v>
      </c>
      <c r="C51" s="203">
        <f>Ventiladores!F50</f>
        <v>0</v>
      </c>
      <c r="D51" s="217"/>
    </row>
    <row r="52" spans="1:4" x14ac:dyDescent="0.3">
      <c r="A52" s="195" t="s">
        <v>615</v>
      </c>
      <c r="B52" s="206" t="s">
        <v>616</v>
      </c>
      <c r="C52" s="203">
        <f>Ventiladores!F44</f>
        <v>0</v>
      </c>
      <c r="D52" s="217"/>
    </row>
    <row r="53" spans="1:4" x14ac:dyDescent="0.3">
      <c r="A53" s="195" t="s">
        <v>603</v>
      </c>
      <c r="B53" s="206" t="s">
        <v>604</v>
      </c>
      <c r="C53" s="203">
        <f>Ventiladores!F40</f>
        <v>0</v>
      </c>
      <c r="D53" s="217"/>
    </row>
    <row r="54" spans="1:4" x14ac:dyDescent="0.3">
      <c r="A54" s="195" t="s">
        <v>597</v>
      </c>
      <c r="B54" s="206" t="s">
        <v>598</v>
      </c>
      <c r="C54" s="203">
        <f>Ventiladores!F39</f>
        <v>0</v>
      </c>
      <c r="D54" s="217"/>
    </row>
    <row r="55" spans="1:4" x14ac:dyDescent="0.3">
      <c r="A55" s="195" t="s">
        <v>621</v>
      </c>
      <c r="B55" s="206" t="s">
        <v>622</v>
      </c>
      <c r="C55" s="203">
        <f>Ventiladores!F41</f>
        <v>0</v>
      </c>
      <c r="D55" s="217"/>
    </row>
    <row r="56" spans="1:4" x14ac:dyDescent="0.3">
      <c r="A56" s="195" t="s">
        <v>605</v>
      </c>
      <c r="B56" s="206" t="s">
        <v>606</v>
      </c>
      <c r="C56" s="203">
        <f>Ventiladores!F22</f>
        <v>0</v>
      </c>
      <c r="D56" s="217"/>
    </row>
    <row r="57" spans="1:4" x14ac:dyDescent="0.3">
      <c r="A57" s="200" t="s">
        <v>599</v>
      </c>
      <c r="B57" s="206" t="s">
        <v>600</v>
      </c>
      <c r="C57" s="203">
        <f>Ventiladores!F21</f>
        <v>0</v>
      </c>
      <c r="D57" s="217"/>
    </row>
    <row r="58" spans="1:4" x14ac:dyDescent="0.3">
      <c r="A58" s="195" t="s">
        <v>617</v>
      </c>
      <c r="B58" s="206" t="s">
        <v>618</v>
      </c>
      <c r="C58" s="203">
        <f>Ventiladores!F24</f>
        <v>0</v>
      </c>
      <c r="D58" s="217"/>
    </row>
    <row r="59" spans="1:4" x14ac:dyDescent="0.3">
      <c r="A59" s="201" t="s">
        <v>623</v>
      </c>
      <c r="B59" s="209" t="s">
        <v>624</v>
      </c>
      <c r="C59" s="203">
        <f>Ventiladores!F42</f>
        <v>0</v>
      </c>
      <c r="D59" s="217"/>
    </row>
    <row r="60" spans="1:4" x14ac:dyDescent="0.3">
      <c r="A60" s="195" t="s">
        <v>601</v>
      </c>
      <c r="B60" s="206" t="s">
        <v>602</v>
      </c>
      <c r="C60" s="203">
        <f>Ventiladores!F55</f>
        <v>0</v>
      </c>
      <c r="D60" s="217"/>
    </row>
    <row r="61" spans="1:4" x14ac:dyDescent="0.3">
      <c r="A61" s="195" t="s">
        <v>607</v>
      </c>
      <c r="B61" s="206" t="s">
        <v>608</v>
      </c>
      <c r="C61" s="203">
        <f>Ventiladores!F56</f>
        <v>0</v>
      </c>
      <c r="D61" s="217"/>
    </row>
    <row r="62" spans="1:4" x14ac:dyDescent="0.3">
      <c r="A62" s="195" t="s">
        <v>619</v>
      </c>
      <c r="B62" s="206" t="s">
        <v>620</v>
      </c>
      <c r="C62" s="203">
        <f>Ventiladores!F58</f>
        <v>0</v>
      </c>
      <c r="D62" s="217"/>
    </row>
    <row r="63" spans="1:4" x14ac:dyDescent="0.3">
      <c r="A63" s="195" t="s">
        <v>609</v>
      </c>
      <c r="B63" s="206" t="s">
        <v>610</v>
      </c>
      <c r="C63" s="203">
        <f>Ventiladores!F43</f>
        <v>0</v>
      </c>
      <c r="D63" s="217"/>
    </row>
    <row r="64" spans="1:4" x14ac:dyDescent="0.3">
      <c r="A64" s="195" t="s">
        <v>595</v>
      </c>
      <c r="B64" s="206" t="s">
        <v>596</v>
      </c>
      <c r="C64" s="203">
        <f>Ventiladores!F59+Ventiladores!F60+Ventiladores!F54</f>
        <v>0</v>
      </c>
      <c r="D64" s="217"/>
    </row>
    <row r="65" spans="1:4" x14ac:dyDescent="0.3">
      <c r="A65" s="195" t="s">
        <v>591</v>
      </c>
      <c r="B65" s="206" t="s">
        <v>592</v>
      </c>
      <c r="C65" s="203">
        <f>Ventiladores!F38+Ventiladores!F45+Ventiladores!F46</f>
        <v>0</v>
      </c>
      <c r="D65" s="217"/>
    </row>
    <row r="66" spans="1:4" x14ac:dyDescent="0.3">
      <c r="A66" s="201" t="s">
        <v>593</v>
      </c>
      <c r="B66" s="210" t="s">
        <v>594</v>
      </c>
      <c r="C66" s="203">
        <f>Ventiladores!F20+Ventiladores!F25+Ventiladores!F26</f>
        <v>0</v>
      </c>
      <c r="D66" s="217"/>
    </row>
    <row r="67" spans="1:4" x14ac:dyDescent="0.3">
      <c r="A67" s="199" t="s">
        <v>611</v>
      </c>
      <c r="B67" s="210" t="s">
        <v>612</v>
      </c>
      <c r="C67" s="203">
        <f>Ventiladores!F23</f>
        <v>0</v>
      </c>
      <c r="D67" s="217"/>
    </row>
    <row r="68" spans="1:4" x14ac:dyDescent="0.3">
      <c r="A68" s="199" t="s">
        <v>613</v>
      </c>
      <c r="B68" s="210" t="s">
        <v>614</v>
      </c>
      <c r="C68" s="203">
        <f>Ventiladores!F57</f>
        <v>0</v>
      </c>
      <c r="D68" s="217"/>
    </row>
    <row r="69" spans="1:4" x14ac:dyDescent="0.3">
      <c r="A69" s="197" t="s">
        <v>649</v>
      </c>
      <c r="B69" s="207" t="s">
        <v>650</v>
      </c>
      <c r="C69" s="203">
        <f>Ventiladores!F116</f>
        <v>0</v>
      </c>
      <c r="D69" s="217"/>
    </row>
    <row r="70" spans="1:4" x14ac:dyDescent="0.3">
      <c r="A70" s="197" t="s">
        <v>637</v>
      </c>
      <c r="B70" s="207" t="s">
        <v>638</v>
      </c>
      <c r="C70" s="203">
        <f>Ventiladores!F112</f>
        <v>0</v>
      </c>
      <c r="D70" s="217"/>
    </row>
    <row r="71" spans="1:4" x14ac:dyDescent="0.3">
      <c r="A71" s="196" t="s">
        <v>631</v>
      </c>
      <c r="B71" s="207" t="s">
        <v>632</v>
      </c>
      <c r="C71" s="203">
        <f>Ventiladores!F111</f>
        <v>0</v>
      </c>
      <c r="D71" s="217"/>
    </row>
    <row r="72" spans="1:4" x14ac:dyDescent="0.3">
      <c r="A72" s="197" t="s">
        <v>655</v>
      </c>
      <c r="B72" s="212" t="s">
        <v>656</v>
      </c>
      <c r="C72" s="203">
        <f>Ventiladores!F113</f>
        <v>0</v>
      </c>
      <c r="D72" s="217"/>
    </row>
    <row r="73" spans="1:4" x14ac:dyDescent="0.3">
      <c r="A73" s="197" t="s">
        <v>639</v>
      </c>
      <c r="B73" s="207" t="s">
        <v>640</v>
      </c>
      <c r="C73" s="203">
        <f>Ventiladores!F94</f>
        <v>0</v>
      </c>
      <c r="D73" s="217"/>
    </row>
    <row r="74" spans="1:4" x14ac:dyDescent="0.3">
      <c r="A74" s="197" t="s">
        <v>633</v>
      </c>
      <c r="B74" s="207" t="s">
        <v>634</v>
      </c>
      <c r="C74" s="203">
        <f>Ventiladores!F93</f>
        <v>0</v>
      </c>
      <c r="D74" s="217"/>
    </row>
    <row r="75" spans="1:4" x14ac:dyDescent="0.3">
      <c r="A75" s="197" t="s">
        <v>651</v>
      </c>
      <c r="B75" s="207" t="s">
        <v>652</v>
      </c>
      <c r="C75" s="203">
        <f>Ventiladores!F96</f>
        <v>0</v>
      </c>
      <c r="D75" s="217"/>
    </row>
    <row r="76" spans="1:4" x14ac:dyDescent="0.3">
      <c r="A76" s="197" t="s">
        <v>657</v>
      </c>
      <c r="B76" s="207" t="s">
        <v>658</v>
      </c>
      <c r="C76" s="203">
        <f>Ventiladores!F114</f>
        <v>0</v>
      </c>
      <c r="D76" s="217"/>
    </row>
    <row r="77" spans="1:4" x14ac:dyDescent="0.3">
      <c r="A77" s="197" t="s">
        <v>635</v>
      </c>
      <c r="B77" s="207" t="s">
        <v>636</v>
      </c>
      <c r="C77" s="203">
        <f>Ventiladores!F127</f>
        <v>0</v>
      </c>
      <c r="D77" s="217"/>
    </row>
    <row r="78" spans="1:4" x14ac:dyDescent="0.3">
      <c r="A78" s="197" t="s">
        <v>641</v>
      </c>
      <c r="B78" s="207" t="s">
        <v>642</v>
      </c>
      <c r="C78" s="203">
        <f>Ventiladores!F128</f>
        <v>0</v>
      </c>
      <c r="D78" s="217"/>
    </row>
    <row r="79" spans="1:4" x14ac:dyDescent="0.3">
      <c r="A79" s="197" t="s">
        <v>653</v>
      </c>
      <c r="B79" s="207" t="s">
        <v>654</v>
      </c>
      <c r="C79" s="203">
        <f>Ventiladores!F130</f>
        <v>0</v>
      </c>
      <c r="D79" s="217"/>
    </row>
    <row r="80" spans="1:4" x14ac:dyDescent="0.3">
      <c r="A80" s="197" t="s">
        <v>643</v>
      </c>
      <c r="B80" s="207" t="s">
        <v>644</v>
      </c>
      <c r="C80" s="203">
        <f>Ventiladores!F115</f>
        <v>0</v>
      </c>
      <c r="D80" s="217"/>
    </row>
    <row r="81" spans="1:4" x14ac:dyDescent="0.3">
      <c r="A81" s="195" t="s">
        <v>627</v>
      </c>
      <c r="B81" s="209" t="s">
        <v>628</v>
      </c>
      <c r="C81" s="203">
        <f>Ventiladores!F92+Ventiladores!F97+Ventiladores!F98</f>
        <v>0</v>
      </c>
      <c r="D81" s="217"/>
    </row>
    <row r="82" spans="1:4" x14ac:dyDescent="0.3">
      <c r="A82" s="201" t="s">
        <v>625</v>
      </c>
      <c r="B82" s="210" t="s">
        <v>626</v>
      </c>
      <c r="C82" s="203">
        <f>Ventiladores!F110+Ventiladores!F117+Ventiladores!F118</f>
        <v>0</v>
      </c>
      <c r="D82" s="217"/>
    </row>
    <row r="83" spans="1:4" x14ac:dyDescent="0.3">
      <c r="A83" s="199" t="s">
        <v>629</v>
      </c>
      <c r="B83" s="210" t="s">
        <v>630</v>
      </c>
      <c r="C83" s="203">
        <f>Ventiladores!F131+Ventiladores!F132+Ventiladores!F126</f>
        <v>0</v>
      </c>
      <c r="D83" s="217"/>
    </row>
    <row r="84" spans="1:4" x14ac:dyDescent="0.3">
      <c r="A84" s="198" t="s">
        <v>645</v>
      </c>
      <c r="B84" s="205" t="s">
        <v>646</v>
      </c>
      <c r="C84" s="203">
        <f>Ventiladores!F95</f>
        <v>0</v>
      </c>
      <c r="D84" s="217"/>
    </row>
    <row r="85" spans="1:4" x14ac:dyDescent="0.3">
      <c r="A85" s="198" t="s">
        <v>647</v>
      </c>
      <c r="B85" s="205" t="s">
        <v>648</v>
      </c>
      <c r="C85" s="203">
        <f>Ventiladores!F129</f>
        <v>0</v>
      </c>
      <c r="D85" s="217"/>
    </row>
    <row r="86" spans="1:4" x14ac:dyDescent="0.3">
      <c r="A86" s="194" t="s">
        <v>579</v>
      </c>
      <c r="B86" s="205" t="s">
        <v>580</v>
      </c>
      <c r="C86" s="203">
        <f>Ventiladores!F187</f>
        <v>0</v>
      </c>
      <c r="D86" s="217"/>
    </row>
    <row r="87" spans="1:4" x14ac:dyDescent="0.3">
      <c r="A87" s="201" t="s">
        <v>569</v>
      </c>
      <c r="B87" s="210" t="s">
        <v>570</v>
      </c>
      <c r="C87" s="203">
        <f>Ventiladores!F164+Ventiladores!F169+Ventiladores!F170</f>
        <v>0</v>
      </c>
      <c r="D87" s="217"/>
    </row>
    <row r="88" spans="1:4" x14ac:dyDescent="0.3">
      <c r="A88" s="194" t="s">
        <v>583</v>
      </c>
      <c r="B88" s="205" t="s">
        <v>584</v>
      </c>
      <c r="C88" s="203">
        <f>Ventiladores!F188</f>
        <v>0</v>
      </c>
      <c r="D88" s="217"/>
    </row>
    <row r="89" spans="1:4" x14ac:dyDescent="0.3">
      <c r="A89" s="201" t="s">
        <v>567</v>
      </c>
      <c r="B89" s="210" t="s">
        <v>568</v>
      </c>
      <c r="C89" s="203">
        <f>Ventiladores!F182+Ventiladores!F189+Ventiladores!F190</f>
        <v>0</v>
      </c>
      <c r="D89" s="217"/>
    </row>
    <row r="90" spans="1:4" x14ac:dyDescent="0.3">
      <c r="A90" s="194" t="s">
        <v>575</v>
      </c>
      <c r="B90" s="205" t="s">
        <v>576</v>
      </c>
      <c r="C90" s="203">
        <f>Ventiladores!F184</f>
        <v>0</v>
      </c>
      <c r="D90" s="217"/>
    </row>
    <row r="91" spans="1:4" x14ac:dyDescent="0.3">
      <c r="A91" s="198" t="s">
        <v>571</v>
      </c>
      <c r="B91" s="205" t="s">
        <v>572</v>
      </c>
      <c r="C91" s="203">
        <f>Ventiladores!F183</f>
        <v>0</v>
      </c>
      <c r="D91" s="217"/>
    </row>
    <row r="92" spans="1:4" x14ac:dyDescent="0.3">
      <c r="A92" s="198" t="s">
        <v>573</v>
      </c>
      <c r="B92" s="205" t="s">
        <v>574</v>
      </c>
      <c r="C92" s="203">
        <f>Ventiladores!F165</f>
        <v>0</v>
      </c>
      <c r="D92" s="217"/>
    </row>
    <row r="93" spans="1:4" x14ac:dyDescent="0.3">
      <c r="A93" s="198" t="s">
        <v>577</v>
      </c>
      <c r="B93" s="205" t="s">
        <v>578</v>
      </c>
      <c r="C93" s="203">
        <f>Ventiladores!F166</f>
        <v>0</v>
      </c>
      <c r="D93" s="217"/>
    </row>
    <row r="94" spans="1:4" x14ac:dyDescent="0.3">
      <c r="A94" s="198" t="s">
        <v>581</v>
      </c>
      <c r="B94" s="205" t="s">
        <v>582</v>
      </c>
      <c r="C94" s="203">
        <f>Ventiladores!F167</f>
        <v>0</v>
      </c>
      <c r="D94" s="217"/>
    </row>
    <row r="95" spans="1:4" x14ac:dyDescent="0.3">
      <c r="A95" s="198" t="s">
        <v>585</v>
      </c>
      <c r="B95" s="205" t="s">
        <v>586</v>
      </c>
      <c r="C95" s="203">
        <f>Ventiladores!F168</f>
        <v>0</v>
      </c>
      <c r="D95" s="217"/>
    </row>
    <row r="96" spans="1:4" x14ac:dyDescent="0.3">
      <c r="A96" s="198" t="s">
        <v>587</v>
      </c>
      <c r="B96" s="205" t="s">
        <v>588</v>
      </c>
      <c r="C96" s="203">
        <f>Ventiladores!F185</f>
        <v>0</v>
      </c>
      <c r="D96" s="217"/>
    </row>
    <row r="97" spans="1:4" x14ac:dyDescent="0.3">
      <c r="A97" s="198" t="s">
        <v>589</v>
      </c>
      <c r="B97" s="205" t="s">
        <v>590</v>
      </c>
      <c r="C97" s="203">
        <f>Ventiladores!F186</f>
        <v>0</v>
      </c>
      <c r="D97" s="217"/>
    </row>
    <row r="98" spans="1:4" x14ac:dyDescent="0.3">
      <c r="A98" s="199" t="s">
        <v>659</v>
      </c>
      <c r="B98" s="210" t="s">
        <v>763</v>
      </c>
      <c r="C98" s="203">
        <f>Ventiladores!F65+Ventiladores!F71</f>
        <v>0</v>
      </c>
      <c r="D98" s="217"/>
    </row>
    <row r="99" spans="1:4" x14ac:dyDescent="0.3">
      <c r="A99" s="199" t="s">
        <v>662</v>
      </c>
      <c r="B99" s="210" t="s">
        <v>757</v>
      </c>
      <c r="C99" s="203">
        <f>Ventiladores!F61</f>
        <v>0</v>
      </c>
      <c r="D99" s="217"/>
    </row>
    <row r="100" spans="1:4" x14ac:dyDescent="0.3">
      <c r="A100" s="199" t="s">
        <v>665</v>
      </c>
      <c r="B100" s="210" t="s">
        <v>765</v>
      </c>
      <c r="C100" s="203">
        <f>Ventiladores!F62</f>
        <v>0</v>
      </c>
      <c r="D100" s="217"/>
    </row>
    <row r="101" spans="1:4" x14ac:dyDescent="0.3">
      <c r="A101" s="199" t="s">
        <v>663</v>
      </c>
      <c r="B101" s="210" t="s">
        <v>759</v>
      </c>
      <c r="C101" s="203">
        <f>Ventiladores!F63+Ventiladores!F69</f>
        <v>0</v>
      </c>
      <c r="D101" s="217"/>
    </row>
    <row r="102" spans="1:4" x14ac:dyDescent="0.3">
      <c r="A102" s="199" t="s">
        <v>664</v>
      </c>
      <c r="B102" s="210" t="s">
        <v>761</v>
      </c>
      <c r="C102" s="203">
        <f>Ventiladores!F64</f>
        <v>0</v>
      </c>
      <c r="D102" s="217"/>
    </row>
    <row r="103" spans="1:4" x14ac:dyDescent="0.3">
      <c r="A103" s="199" t="s">
        <v>660</v>
      </c>
      <c r="B103" s="210" t="s">
        <v>661</v>
      </c>
      <c r="C103" s="203">
        <f>Ventiladores!F66</f>
        <v>0</v>
      </c>
      <c r="D103" s="217"/>
    </row>
    <row r="104" spans="1:4" x14ac:dyDescent="0.3">
      <c r="A104" s="199" t="s">
        <v>666</v>
      </c>
      <c r="B104" s="210" t="s">
        <v>764</v>
      </c>
      <c r="C104" s="203">
        <f>Ventiladores!F137+Ventiladores!F143</f>
        <v>0</v>
      </c>
      <c r="D104" s="217"/>
    </row>
    <row r="105" spans="1:4" x14ac:dyDescent="0.3">
      <c r="A105" s="199" t="s">
        <v>669</v>
      </c>
      <c r="B105" s="210" t="s">
        <v>758</v>
      </c>
      <c r="C105" s="203">
        <f>Ventiladores!F133</f>
        <v>0</v>
      </c>
      <c r="D105" s="217"/>
    </row>
    <row r="106" spans="1:4" x14ac:dyDescent="0.3">
      <c r="A106" s="199" t="s">
        <v>672</v>
      </c>
      <c r="B106" s="210" t="s">
        <v>766</v>
      </c>
      <c r="C106" s="203">
        <f>Ventiladores!F134</f>
        <v>0</v>
      </c>
      <c r="D106" s="217"/>
    </row>
    <row r="107" spans="1:4" x14ac:dyDescent="0.3">
      <c r="A107" s="199" t="s">
        <v>670</v>
      </c>
      <c r="B107" s="210" t="s">
        <v>760</v>
      </c>
      <c r="C107" s="203">
        <f>Ventiladores!F135+Ventiladores!F141</f>
        <v>0</v>
      </c>
      <c r="D107" s="217"/>
    </row>
    <row r="108" spans="1:4" x14ac:dyDescent="0.3">
      <c r="A108" s="199" t="s">
        <v>671</v>
      </c>
      <c r="B108" s="210" t="s">
        <v>762</v>
      </c>
      <c r="C108" s="203">
        <f>Ventiladores!F136</f>
        <v>0</v>
      </c>
      <c r="D108" s="217"/>
    </row>
    <row r="109" spans="1:4" x14ac:dyDescent="0.3">
      <c r="A109" s="199" t="s">
        <v>667</v>
      </c>
      <c r="B109" s="210" t="s">
        <v>668</v>
      </c>
      <c r="C109" s="203">
        <f>Ventiladores!F138</f>
        <v>0</v>
      </c>
      <c r="D109" s="217"/>
    </row>
    <row r="110" spans="1:4" ht="15" thickBot="1" x14ac:dyDescent="0.35">
      <c r="A110" s="214"/>
      <c r="B110" s="215" t="s">
        <v>754</v>
      </c>
      <c r="C110" s="214">
        <f>SUM('Semi Acabados'!$C$3:$C$109)</f>
        <v>0</v>
      </c>
      <c r="D110" s="217"/>
    </row>
  </sheetData>
  <mergeCells count="16">
    <mergeCell ref="E1:O1"/>
    <mergeCell ref="E17:F17"/>
    <mergeCell ref="I13:J13"/>
    <mergeCell ref="I21:J21"/>
    <mergeCell ref="M10:N10"/>
    <mergeCell ref="M20:N20"/>
    <mergeCell ref="E42:F42"/>
    <mergeCell ref="I40:J40"/>
    <mergeCell ref="I46:J46"/>
    <mergeCell ref="I28:J28"/>
    <mergeCell ref="I35:J35"/>
    <mergeCell ref="M40:N40"/>
    <mergeCell ref="E26:F26"/>
    <mergeCell ref="E31:F31"/>
    <mergeCell ref="E36:F36"/>
    <mergeCell ref="M30:N30"/>
  </mergeCells>
  <phoneticPr fontId="10" type="noConversion"/>
  <pageMargins left="0.51180599999999998" right="0.51180599999999998" top="0.78749999999999998" bottom="0.78749999999999998" header="0.315278" footer="0.315278"/>
  <pageSetup paperSize="9" scale="69" orientation="landscape" r:id="rId1"/>
  <ignoredErrors>
    <ignoredError sqref="E12:E16 E20:E25 E29:E30 E34 I38:I39 I31:I34 I9:I10 I16:I20 I24:I27 I43:I45 E39:E41 I3:I4 E3:E10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09D2-583B-4593-8EC8-16584DB5A620}">
  <dimension ref="B1:F2"/>
  <sheetViews>
    <sheetView workbookViewId="0">
      <selection activeCell="C6" sqref="C6"/>
    </sheetView>
  </sheetViews>
  <sheetFormatPr defaultColWidth="8.88671875" defaultRowHeight="14.4" x14ac:dyDescent="0.3"/>
  <cols>
    <col min="1" max="1" width="8.88671875" style="168"/>
    <col min="2" max="2" width="11" style="168" bestFit="1" customWidth="1"/>
    <col min="3" max="5" width="8.88671875" style="168"/>
    <col min="6" max="6" width="10.109375" style="168" bestFit="1" customWidth="1"/>
    <col min="7" max="16384" width="8.88671875" style="168"/>
  </cols>
  <sheetData>
    <row r="1" spans="2:6" s="169" customFormat="1" ht="15.6" x14ac:dyDescent="0.3">
      <c r="B1" s="169" t="s">
        <v>707</v>
      </c>
      <c r="D1" s="169" t="s">
        <v>708</v>
      </c>
      <c r="E1" s="169" t="s">
        <v>709</v>
      </c>
      <c r="F1" s="169" t="s">
        <v>710</v>
      </c>
    </row>
    <row r="2" spans="2:6" x14ac:dyDescent="0.2">
      <c r="B2" s="19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27"/>
  <sheetViews>
    <sheetView topLeftCell="A84" zoomScaleNormal="100" workbookViewId="0">
      <selection activeCell="H100" sqref="H100"/>
    </sheetView>
  </sheetViews>
  <sheetFormatPr defaultColWidth="9.109375" defaultRowHeight="14.4" x14ac:dyDescent="0.3"/>
  <cols>
    <col min="1" max="1" width="7.109375" customWidth="1"/>
    <col min="2" max="2" width="31.88671875" customWidth="1"/>
    <col min="3" max="3" width="7.44140625" customWidth="1"/>
    <col min="4" max="4" width="7.88671875" style="141" customWidth="1"/>
    <col min="5" max="5" width="8.6640625" customWidth="1"/>
    <col min="6" max="6" width="7.5546875" customWidth="1"/>
    <col min="7" max="7" width="7.6640625" customWidth="1"/>
    <col min="8" max="8" width="31.5546875" customWidth="1"/>
    <col min="9" max="9" width="7.33203125" customWidth="1"/>
    <col min="10" max="10" width="7.6640625" style="141" customWidth="1"/>
    <col min="11" max="11" width="7.44140625" customWidth="1"/>
    <col min="12" max="12" width="8.6640625" customWidth="1"/>
    <col min="13" max="13" width="9.33203125" customWidth="1"/>
    <col min="14" max="14" width="29.6640625" bestFit="1" customWidth="1"/>
    <col min="15" max="15" width="8.88671875" customWidth="1"/>
  </cols>
  <sheetData>
    <row r="1" spans="1:12" ht="21" customHeight="1" x14ac:dyDescent="0.3">
      <c r="B1" s="248" t="s">
        <v>684</v>
      </c>
      <c r="C1" s="248"/>
      <c r="D1" s="248"/>
      <c r="E1" s="248"/>
      <c r="F1" s="248"/>
      <c r="G1" s="248"/>
      <c r="H1" s="248"/>
      <c r="I1" s="248"/>
      <c r="J1" s="248"/>
      <c r="K1" s="248"/>
      <c r="L1" s="232"/>
    </row>
    <row r="2" spans="1:12" ht="16.5" customHeight="1" x14ac:dyDescent="0.3">
      <c r="A2" s="162" t="s">
        <v>430</v>
      </c>
      <c r="B2" s="140" t="s">
        <v>691</v>
      </c>
      <c r="C2" s="162" t="s">
        <v>431</v>
      </c>
      <c r="D2" s="140" t="s">
        <v>435</v>
      </c>
      <c r="E2" s="140" t="s">
        <v>434</v>
      </c>
      <c r="G2" s="162" t="s">
        <v>430</v>
      </c>
      <c r="H2" s="140" t="s">
        <v>432</v>
      </c>
      <c r="I2" s="162" t="s">
        <v>431</v>
      </c>
      <c r="J2" s="140" t="s">
        <v>435</v>
      </c>
      <c r="K2" s="140" t="s">
        <v>434</v>
      </c>
    </row>
    <row r="3" spans="1:12" ht="15" customHeight="1" thickBot="1" x14ac:dyDescent="0.35">
      <c r="A3" s="233"/>
      <c r="B3" s="26"/>
      <c r="C3" s="7"/>
      <c r="D3" s="142" t="s">
        <v>436</v>
      </c>
      <c r="E3" s="140"/>
      <c r="G3" s="233"/>
      <c r="H3" s="26"/>
      <c r="I3" s="7"/>
      <c r="J3" s="142" t="s">
        <v>436</v>
      </c>
      <c r="K3" s="140"/>
    </row>
    <row r="4" spans="1:12" ht="15" customHeight="1" thickBot="1" x14ac:dyDescent="0.35">
      <c r="A4" s="233"/>
      <c r="B4" s="26"/>
      <c r="C4" s="7"/>
      <c r="D4" s="142" t="s">
        <v>436</v>
      </c>
      <c r="E4" s="140"/>
      <c r="G4" s="233"/>
      <c r="H4" s="26"/>
      <c r="I4" s="7"/>
      <c r="J4" s="142" t="s">
        <v>436</v>
      </c>
      <c r="K4" s="140"/>
    </row>
    <row r="5" spans="1:12" ht="15" customHeight="1" thickBot="1" x14ac:dyDescent="0.35">
      <c r="A5" s="233"/>
      <c r="B5" s="26"/>
      <c r="C5" s="7"/>
      <c r="D5" s="142" t="s">
        <v>436</v>
      </c>
      <c r="E5" s="140"/>
      <c r="G5" s="233"/>
      <c r="H5" s="26"/>
      <c r="I5" s="7"/>
      <c r="J5" s="142" t="s">
        <v>436</v>
      </c>
      <c r="K5" s="140"/>
    </row>
    <row r="6" spans="1:12" ht="15" customHeight="1" thickBot="1" x14ac:dyDescent="0.35">
      <c r="A6" s="233"/>
      <c r="B6" s="26"/>
      <c r="C6" s="7"/>
      <c r="D6" s="142" t="s">
        <v>436</v>
      </c>
      <c r="E6" s="140"/>
      <c r="G6" s="233"/>
      <c r="H6" s="26"/>
      <c r="I6" s="7"/>
      <c r="J6" s="142" t="s">
        <v>436</v>
      </c>
      <c r="K6" s="140"/>
    </row>
    <row r="7" spans="1:12" ht="15" customHeight="1" thickBot="1" x14ac:dyDescent="0.35">
      <c r="A7" s="233"/>
      <c r="B7" s="26"/>
      <c r="C7" s="7"/>
      <c r="D7" s="142" t="s">
        <v>436</v>
      </c>
      <c r="E7" s="140"/>
      <c r="G7" s="233"/>
      <c r="H7" s="26"/>
      <c r="I7" s="7"/>
      <c r="J7" s="142" t="s">
        <v>436</v>
      </c>
      <c r="K7" s="140"/>
    </row>
    <row r="8" spans="1:12" ht="15" customHeight="1" thickBot="1" x14ac:dyDescent="0.35">
      <c r="A8" s="233"/>
      <c r="B8" s="26"/>
      <c r="C8" s="7"/>
      <c r="D8" s="142" t="s">
        <v>436</v>
      </c>
      <c r="E8" s="140"/>
      <c r="G8" s="233"/>
      <c r="H8" s="26"/>
      <c r="I8" s="7"/>
      <c r="J8" s="142" t="s">
        <v>436</v>
      </c>
      <c r="K8" s="140"/>
    </row>
    <row r="9" spans="1:12" ht="15" customHeight="1" thickBot="1" x14ac:dyDescent="0.35">
      <c r="A9" s="234"/>
      <c r="B9" s="26"/>
      <c r="C9" s="7"/>
      <c r="D9" s="142" t="s">
        <v>436</v>
      </c>
      <c r="E9" s="140"/>
      <c r="G9" s="233"/>
      <c r="H9" s="26"/>
      <c r="I9" s="7"/>
      <c r="J9" s="142" t="s">
        <v>436</v>
      </c>
      <c r="K9" s="140"/>
    </row>
    <row r="10" spans="1:12" ht="15" customHeight="1" thickBot="1" x14ac:dyDescent="0.35">
      <c r="A10" s="233"/>
      <c r="B10" s="26"/>
      <c r="C10" s="164"/>
      <c r="D10" s="142" t="s">
        <v>436</v>
      </c>
      <c r="E10" s="140"/>
      <c r="G10" s="233"/>
      <c r="H10" s="26"/>
      <c r="I10" s="7"/>
      <c r="J10" s="142" t="s">
        <v>436</v>
      </c>
      <c r="K10" s="140"/>
    </row>
    <row r="11" spans="1:12" ht="15" customHeight="1" thickBot="1" x14ac:dyDescent="0.35">
      <c r="A11" s="233"/>
      <c r="B11" s="26"/>
      <c r="C11" s="164"/>
      <c r="D11" s="142" t="s">
        <v>436</v>
      </c>
      <c r="E11" s="140"/>
      <c r="G11" s="233"/>
      <c r="H11" s="26"/>
      <c r="I11" s="7"/>
      <c r="J11" s="142" t="s">
        <v>436</v>
      </c>
      <c r="K11" s="140"/>
    </row>
    <row r="12" spans="1:12" ht="15" customHeight="1" thickBot="1" x14ac:dyDescent="0.35">
      <c r="A12" s="233"/>
      <c r="B12" s="26"/>
      <c r="C12" s="164"/>
      <c r="D12" s="142" t="s">
        <v>436</v>
      </c>
      <c r="E12" s="140"/>
      <c r="G12" s="233"/>
      <c r="H12" s="26"/>
      <c r="I12" s="7"/>
      <c r="J12" s="142" t="s">
        <v>436</v>
      </c>
      <c r="K12" s="140"/>
    </row>
    <row r="13" spans="1:12" ht="15" customHeight="1" thickBot="1" x14ac:dyDescent="0.35">
      <c r="A13" s="233"/>
      <c r="B13" s="26"/>
      <c r="C13" s="164"/>
      <c r="D13" s="142" t="s">
        <v>436</v>
      </c>
      <c r="E13" s="140"/>
      <c r="G13" s="233"/>
      <c r="H13" s="26"/>
      <c r="I13" s="7"/>
      <c r="J13" s="142" t="s">
        <v>436</v>
      </c>
      <c r="K13" s="140"/>
    </row>
    <row r="14" spans="1:12" ht="15.75" customHeight="1" thickBot="1" x14ac:dyDescent="0.35">
      <c r="A14" s="233"/>
      <c r="B14" s="26"/>
      <c r="C14" s="164"/>
      <c r="D14" s="142" t="s">
        <v>436</v>
      </c>
      <c r="E14" s="140"/>
      <c r="G14" s="233"/>
      <c r="H14" s="26"/>
      <c r="I14" s="7"/>
      <c r="J14" s="142" t="s">
        <v>436</v>
      </c>
      <c r="K14" s="140"/>
    </row>
    <row r="15" spans="1:12" ht="15" customHeight="1" thickBot="1" x14ac:dyDescent="0.35">
      <c r="A15" s="233"/>
      <c r="B15" s="26"/>
      <c r="C15" s="164"/>
      <c r="D15" s="142" t="s">
        <v>436</v>
      </c>
      <c r="E15" s="140"/>
      <c r="G15" s="233"/>
      <c r="H15" s="26"/>
      <c r="I15" s="7"/>
      <c r="J15" s="142" t="s">
        <v>436</v>
      </c>
      <c r="K15" s="140"/>
    </row>
    <row r="16" spans="1:12" ht="15" customHeight="1" thickBot="1" x14ac:dyDescent="0.35">
      <c r="A16" s="233"/>
      <c r="B16" s="26"/>
      <c r="C16" s="164"/>
      <c r="D16" s="142" t="s">
        <v>436</v>
      </c>
      <c r="E16" s="140"/>
      <c r="G16" s="233"/>
      <c r="H16" s="26"/>
      <c r="I16" s="7"/>
      <c r="J16" s="142" t="s">
        <v>436</v>
      </c>
      <c r="K16" s="140"/>
    </row>
    <row r="17" spans="1:11" ht="15" customHeight="1" thickBot="1" x14ac:dyDescent="0.35">
      <c r="A17" s="233"/>
      <c r="B17" s="26"/>
      <c r="C17" s="164"/>
      <c r="D17" s="142" t="s">
        <v>436</v>
      </c>
      <c r="E17" s="140"/>
      <c r="G17" s="233"/>
      <c r="H17" s="26"/>
      <c r="I17" s="7"/>
      <c r="J17" s="142" t="s">
        <v>436</v>
      </c>
      <c r="K17" s="140"/>
    </row>
    <row r="18" spans="1:11" ht="15" customHeight="1" thickBot="1" x14ac:dyDescent="0.35">
      <c r="A18" s="162" t="s">
        <v>430</v>
      </c>
      <c r="B18" s="140" t="s">
        <v>685</v>
      </c>
      <c r="C18" s="162" t="s">
        <v>431</v>
      </c>
      <c r="D18" s="140" t="s">
        <v>435</v>
      </c>
      <c r="E18" s="140" t="s">
        <v>434</v>
      </c>
      <c r="G18" s="233"/>
      <c r="H18" s="26"/>
      <c r="I18" s="7"/>
      <c r="J18" s="142" t="s">
        <v>436</v>
      </c>
      <c r="K18" s="140"/>
    </row>
    <row r="19" spans="1:11" ht="15" customHeight="1" thickBot="1" x14ac:dyDescent="0.35">
      <c r="A19" s="233"/>
      <c r="B19" s="26"/>
      <c r="C19" s="7"/>
      <c r="D19" s="142" t="s">
        <v>436</v>
      </c>
      <c r="E19" s="140"/>
      <c r="G19" s="233"/>
      <c r="H19" s="26"/>
      <c r="I19" s="7"/>
      <c r="J19" s="142" t="s">
        <v>436</v>
      </c>
      <c r="K19" s="140"/>
    </row>
    <row r="20" spans="1:11" ht="15" customHeight="1" thickBot="1" x14ac:dyDescent="0.35">
      <c r="A20" s="233"/>
      <c r="B20" s="26"/>
      <c r="C20" s="7"/>
      <c r="D20" s="142" t="s">
        <v>436</v>
      </c>
      <c r="E20" s="140"/>
      <c r="G20" s="233"/>
      <c r="H20" s="26"/>
      <c r="I20" s="7"/>
      <c r="J20" s="142" t="s">
        <v>436</v>
      </c>
      <c r="K20" s="140"/>
    </row>
    <row r="21" spans="1:11" ht="15.75" customHeight="1" thickBot="1" x14ac:dyDescent="0.35">
      <c r="A21" s="233"/>
      <c r="B21" s="26"/>
      <c r="C21" s="7"/>
      <c r="D21" s="142" t="s">
        <v>436</v>
      </c>
      <c r="E21" s="140"/>
      <c r="G21" s="233"/>
      <c r="H21" s="26"/>
      <c r="I21" s="7"/>
      <c r="J21" s="142" t="s">
        <v>436</v>
      </c>
      <c r="K21" s="140"/>
    </row>
    <row r="22" spans="1:11" ht="15" customHeight="1" thickBot="1" x14ac:dyDescent="0.35">
      <c r="A22" s="233"/>
      <c r="B22" s="26"/>
      <c r="C22" s="7"/>
      <c r="D22" s="142" t="s">
        <v>436</v>
      </c>
      <c r="E22" s="140"/>
      <c r="G22" s="233"/>
      <c r="H22" s="26"/>
      <c r="I22" s="7"/>
      <c r="J22" s="142" t="s">
        <v>436</v>
      </c>
      <c r="K22" s="140"/>
    </row>
    <row r="23" spans="1:11" ht="15" customHeight="1" thickBot="1" x14ac:dyDescent="0.35">
      <c r="A23" s="233"/>
      <c r="B23" s="26"/>
      <c r="C23" s="7"/>
      <c r="D23" s="142" t="s">
        <v>436</v>
      </c>
      <c r="E23" s="140"/>
      <c r="G23" s="233"/>
      <c r="H23" s="26"/>
      <c r="I23" s="7"/>
      <c r="J23" s="142" t="s">
        <v>436</v>
      </c>
      <c r="K23" s="140"/>
    </row>
    <row r="24" spans="1:11" ht="15" customHeight="1" thickBot="1" x14ac:dyDescent="0.35">
      <c r="A24" s="233"/>
      <c r="B24" s="26"/>
      <c r="C24" s="7"/>
      <c r="D24" s="142" t="s">
        <v>436</v>
      </c>
      <c r="E24" s="140"/>
      <c r="G24" s="233"/>
      <c r="H24" s="26"/>
      <c r="I24" s="7"/>
      <c r="J24" s="142" t="s">
        <v>436</v>
      </c>
      <c r="K24" s="140"/>
    </row>
    <row r="25" spans="1:11" ht="15" customHeight="1" thickBot="1" x14ac:dyDescent="0.35">
      <c r="A25" s="234"/>
      <c r="B25" s="26"/>
      <c r="C25" s="7"/>
      <c r="D25" s="142" t="s">
        <v>436</v>
      </c>
      <c r="E25" s="140"/>
      <c r="G25" s="233"/>
      <c r="H25" s="26"/>
      <c r="I25" s="7"/>
      <c r="J25" s="142" t="s">
        <v>436</v>
      </c>
      <c r="K25" s="140"/>
    </row>
    <row r="26" spans="1:11" ht="15" customHeight="1" thickBot="1" x14ac:dyDescent="0.35">
      <c r="A26" s="233"/>
      <c r="B26" s="26"/>
      <c r="C26" s="164"/>
      <c r="D26" s="142" t="s">
        <v>436</v>
      </c>
      <c r="E26" s="140"/>
      <c r="G26" s="233"/>
      <c r="H26" s="26"/>
      <c r="I26" s="7"/>
      <c r="J26" s="142" t="s">
        <v>436</v>
      </c>
      <c r="K26" s="140"/>
    </row>
    <row r="27" spans="1:11" ht="15" customHeight="1" thickBot="1" x14ac:dyDescent="0.35">
      <c r="A27" s="233"/>
      <c r="B27" s="26"/>
      <c r="C27" s="164"/>
      <c r="D27" s="142" t="s">
        <v>436</v>
      </c>
      <c r="E27" s="140"/>
      <c r="G27" s="162" t="s">
        <v>430</v>
      </c>
      <c r="H27" s="140" t="s">
        <v>695</v>
      </c>
      <c r="I27" s="162" t="s">
        <v>431</v>
      </c>
      <c r="J27" s="140" t="s">
        <v>435</v>
      </c>
      <c r="K27" s="140" t="s">
        <v>434</v>
      </c>
    </row>
    <row r="28" spans="1:11" ht="15" customHeight="1" thickBot="1" x14ac:dyDescent="0.35">
      <c r="A28" s="233"/>
      <c r="B28" s="26"/>
      <c r="C28" s="164"/>
      <c r="D28" s="142" t="s">
        <v>436</v>
      </c>
      <c r="E28" s="140"/>
      <c r="G28" s="233"/>
      <c r="H28" s="26"/>
      <c r="I28" s="7"/>
      <c r="J28" s="142" t="s">
        <v>436</v>
      </c>
      <c r="K28" s="140"/>
    </row>
    <row r="29" spans="1:11" ht="15" customHeight="1" thickBot="1" x14ac:dyDescent="0.35">
      <c r="A29" s="233"/>
      <c r="B29" s="26"/>
      <c r="C29" s="164"/>
      <c r="D29" s="142" t="s">
        <v>436</v>
      </c>
      <c r="E29" s="140"/>
      <c r="G29" s="233"/>
      <c r="H29" s="26"/>
      <c r="I29" s="7"/>
      <c r="J29" s="142" t="s">
        <v>436</v>
      </c>
      <c r="K29" s="140"/>
    </row>
    <row r="30" spans="1:11" ht="15" customHeight="1" thickBot="1" x14ac:dyDescent="0.35">
      <c r="A30" s="233"/>
      <c r="B30" s="26"/>
      <c r="C30" s="164"/>
      <c r="D30" s="142" t="s">
        <v>436</v>
      </c>
      <c r="E30" s="140"/>
      <c r="G30" s="233"/>
      <c r="H30" s="26"/>
      <c r="I30" s="7"/>
      <c r="J30" s="142" t="s">
        <v>436</v>
      </c>
      <c r="K30" s="140"/>
    </row>
    <row r="31" spans="1:11" ht="15" customHeight="1" thickBot="1" x14ac:dyDescent="0.35">
      <c r="A31" s="162" t="s">
        <v>430</v>
      </c>
      <c r="B31" s="140" t="s">
        <v>692</v>
      </c>
      <c r="C31" s="162" t="s">
        <v>431</v>
      </c>
      <c r="D31" s="140" t="s">
        <v>435</v>
      </c>
      <c r="E31" s="140" t="s">
        <v>434</v>
      </c>
      <c r="G31" s="233"/>
      <c r="H31" s="26"/>
      <c r="I31" s="7"/>
      <c r="J31" s="142" t="s">
        <v>436</v>
      </c>
      <c r="K31" s="140"/>
    </row>
    <row r="32" spans="1:11" ht="15" customHeight="1" thickBot="1" x14ac:dyDescent="0.35">
      <c r="A32" s="235"/>
      <c r="B32" s="26"/>
      <c r="C32" s="7"/>
      <c r="D32" s="142" t="s">
        <v>436</v>
      </c>
      <c r="E32" s="140"/>
      <c r="G32" s="233"/>
      <c r="H32" s="26"/>
      <c r="I32" s="7"/>
      <c r="J32" s="142" t="s">
        <v>436</v>
      </c>
      <c r="K32" s="140"/>
    </row>
    <row r="33" spans="1:11" ht="15" customHeight="1" thickBot="1" x14ac:dyDescent="0.35">
      <c r="A33" s="233"/>
      <c r="B33" s="26"/>
      <c r="C33" s="7"/>
      <c r="D33" s="142" t="s">
        <v>436</v>
      </c>
      <c r="E33" s="140"/>
      <c r="G33" s="233"/>
      <c r="H33" s="26"/>
      <c r="I33" s="7"/>
      <c r="J33" s="142" t="s">
        <v>436</v>
      </c>
      <c r="K33" s="140"/>
    </row>
    <row r="34" spans="1:11" ht="15" customHeight="1" thickBot="1" x14ac:dyDescent="0.35">
      <c r="A34" s="233"/>
      <c r="B34" s="26"/>
      <c r="C34" s="7"/>
      <c r="D34" s="142" t="s">
        <v>436</v>
      </c>
      <c r="E34" s="140"/>
      <c r="G34" s="233"/>
      <c r="H34" s="26"/>
      <c r="I34" s="7"/>
      <c r="J34" s="142" t="s">
        <v>436</v>
      </c>
      <c r="K34" s="140"/>
    </row>
    <row r="35" spans="1:11" ht="15" customHeight="1" thickBot="1" x14ac:dyDescent="0.35">
      <c r="A35" s="233"/>
      <c r="B35" s="26"/>
      <c r="C35" s="7"/>
      <c r="D35" s="142" t="s">
        <v>436</v>
      </c>
      <c r="E35" s="140"/>
      <c r="G35" s="233"/>
      <c r="H35" s="26"/>
      <c r="I35" s="7"/>
      <c r="J35" s="142" t="s">
        <v>436</v>
      </c>
      <c r="K35" s="140"/>
    </row>
    <row r="36" spans="1:11" ht="15" customHeight="1" thickBot="1" x14ac:dyDescent="0.35">
      <c r="A36" s="233"/>
      <c r="B36" s="26"/>
      <c r="C36" s="7"/>
      <c r="D36" s="142" t="s">
        <v>436</v>
      </c>
      <c r="E36" s="140"/>
      <c r="G36" s="233"/>
      <c r="H36" s="26"/>
      <c r="I36" s="7"/>
      <c r="J36" s="142" t="s">
        <v>436</v>
      </c>
      <c r="K36" s="140"/>
    </row>
    <row r="37" spans="1:11" ht="16.5" customHeight="1" thickBot="1" x14ac:dyDescent="0.35">
      <c r="A37" s="233"/>
      <c r="B37" s="26"/>
      <c r="C37" s="7"/>
      <c r="D37" s="142" t="s">
        <v>436</v>
      </c>
      <c r="E37" s="140"/>
      <c r="G37" s="233"/>
      <c r="H37" s="26"/>
      <c r="I37" s="7"/>
      <c r="J37" s="142" t="s">
        <v>436</v>
      </c>
      <c r="K37" s="140"/>
    </row>
    <row r="38" spans="1:11" ht="15" customHeight="1" thickBot="1" x14ac:dyDescent="0.35">
      <c r="A38" s="233"/>
      <c r="B38" s="26"/>
      <c r="C38" s="7"/>
      <c r="D38" s="142" t="s">
        <v>436</v>
      </c>
      <c r="E38" s="140"/>
      <c r="G38" s="233"/>
      <c r="H38" s="26"/>
      <c r="I38" s="7"/>
      <c r="J38" s="142" t="s">
        <v>436</v>
      </c>
      <c r="K38" s="140"/>
    </row>
    <row r="39" spans="1:11" ht="15" customHeight="1" thickBot="1" x14ac:dyDescent="0.35">
      <c r="A39" s="233"/>
      <c r="B39" s="26"/>
      <c r="C39" s="7"/>
      <c r="D39" s="142" t="s">
        <v>436</v>
      </c>
      <c r="E39" s="140"/>
      <c r="G39" s="233"/>
      <c r="H39" s="26"/>
      <c r="I39" s="7"/>
      <c r="J39" s="142" t="s">
        <v>436</v>
      </c>
      <c r="K39" s="140"/>
    </row>
    <row r="40" spans="1:11" ht="15" customHeight="1" thickBot="1" x14ac:dyDescent="0.35">
      <c r="A40" s="233"/>
      <c r="B40" s="26"/>
      <c r="C40" s="7"/>
      <c r="D40" s="142" t="s">
        <v>436</v>
      </c>
      <c r="E40" s="140"/>
      <c r="G40" s="162" t="s">
        <v>430</v>
      </c>
      <c r="H40" s="140" t="s">
        <v>433</v>
      </c>
      <c r="I40" s="162" t="s">
        <v>431</v>
      </c>
      <c r="J40" s="140" t="s">
        <v>435</v>
      </c>
      <c r="K40" s="140" t="s">
        <v>434</v>
      </c>
    </row>
    <row r="41" spans="1:11" ht="15" customHeight="1" thickBot="1" x14ac:dyDescent="0.35">
      <c r="A41" s="233"/>
      <c r="B41" s="26"/>
      <c r="C41" s="7"/>
      <c r="D41" s="142" t="s">
        <v>436</v>
      </c>
      <c r="E41" s="140"/>
      <c r="G41" s="233"/>
      <c r="H41" s="26"/>
      <c r="I41" s="7"/>
      <c r="J41" s="142" t="s">
        <v>436</v>
      </c>
      <c r="K41" s="140"/>
    </row>
    <row r="42" spans="1:11" ht="15" customHeight="1" thickBot="1" x14ac:dyDescent="0.35">
      <c r="A42" s="233"/>
      <c r="B42" s="26"/>
      <c r="C42" s="7"/>
      <c r="D42" s="142" t="s">
        <v>436</v>
      </c>
      <c r="E42" s="140"/>
      <c r="G42" s="233"/>
      <c r="H42" s="26"/>
      <c r="I42" s="7"/>
      <c r="J42" s="142" t="s">
        <v>436</v>
      </c>
      <c r="K42" s="140"/>
    </row>
    <row r="43" spans="1:11" ht="15" customHeight="1" thickBot="1" x14ac:dyDescent="0.35">
      <c r="A43" s="233"/>
      <c r="B43" s="26"/>
      <c r="C43" s="7"/>
      <c r="D43" s="142" t="s">
        <v>436</v>
      </c>
      <c r="E43" s="140"/>
      <c r="G43" s="233"/>
      <c r="H43" s="26"/>
      <c r="I43" s="7"/>
      <c r="J43" s="142" t="s">
        <v>436</v>
      </c>
      <c r="K43" s="140"/>
    </row>
    <row r="44" spans="1:11" ht="15" customHeight="1" thickBot="1" x14ac:dyDescent="0.35">
      <c r="A44" s="233"/>
      <c r="B44" s="26"/>
      <c r="C44" s="7"/>
      <c r="D44" s="142" t="s">
        <v>436</v>
      </c>
      <c r="E44" s="140"/>
      <c r="G44" s="233"/>
      <c r="H44" s="26"/>
      <c r="I44" s="7"/>
      <c r="J44" s="142" t="s">
        <v>436</v>
      </c>
      <c r="K44" s="140"/>
    </row>
    <row r="45" spans="1:11" ht="15" customHeight="1" thickBot="1" x14ac:dyDescent="0.35">
      <c r="A45" s="233"/>
      <c r="B45" s="26"/>
      <c r="C45" s="7"/>
      <c r="D45" s="142" t="s">
        <v>436</v>
      </c>
      <c r="E45" s="140"/>
      <c r="G45" s="233"/>
      <c r="H45" s="26"/>
      <c r="I45" s="7"/>
      <c r="J45" s="142" t="s">
        <v>436</v>
      </c>
      <c r="K45" s="140"/>
    </row>
    <row r="46" spans="1:11" ht="14.85" customHeight="1" thickBot="1" x14ac:dyDescent="0.35">
      <c r="A46" s="233"/>
      <c r="B46" s="26"/>
      <c r="C46" s="7"/>
      <c r="D46" s="142" t="s">
        <v>436</v>
      </c>
      <c r="E46" s="140"/>
      <c r="G46" s="233"/>
      <c r="H46" s="26"/>
      <c r="I46" s="7"/>
      <c r="J46" s="142" t="s">
        <v>436</v>
      </c>
      <c r="K46" s="140"/>
    </row>
    <row r="47" spans="1:11" ht="16.2" thickBot="1" x14ac:dyDescent="0.35">
      <c r="A47" s="233"/>
      <c r="B47" s="26"/>
      <c r="C47" s="7"/>
      <c r="D47" s="142" t="s">
        <v>436</v>
      </c>
      <c r="E47" s="140"/>
      <c r="G47" s="233"/>
      <c r="H47" s="26"/>
      <c r="I47" s="7"/>
      <c r="J47" s="142" t="s">
        <v>436</v>
      </c>
      <c r="K47" s="140"/>
    </row>
    <row r="48" spans="1:11" ht="16.2" thickBot="1" x14ac:dyDescent="0.35">
      <c r="A48" s="162" t="s">
        <v>430</v>
      </c>
      <c r="B48" s="140" t="s">
        <v>693</v>
      </c>
      <c r="C48" s="162" t="s">
        <v>431</v>
      </c>
      <c r="D48" s="140" t="s">
        <v>435</v>
      </c>
      <c r="E48" s="140" t="s">
        <v>434</v>
      </c>
      <c r="G48" s="233"/>
      <c r="H48" s="26"/>
      <c r="I48" s="7"/>
      <c r="J48" s="142" t="s">
        <v>436</v>
      </c>
      <c r="K48" s="140"/>
    </row>
    <row r="49" spans="1:11" ht="16.2" thickBot="1" x14ac:dyDescent="0.35">
      <c r="A49" s="235"/>
      <c r="B49" s="26"/>
      <c r="C49" s="7"/>
      <c r="D49" s="142" t="s">
        <v>436</v>
      </c>
      <c r="E49" s="140"/>
      <c r="G49" s="233"/>
      <c r="H49" s="26"/>
      <c r="I49" s="7"/>
      <c r="J49" s="142" t="s">
        <v>436</v>
      </c>
      <c r="K49" s="140"/>
    </row>
    <row r="50" spans="1:11" ht="16.2" thickBot="1" x14ac:dyDescent="0.35">
      <c r="A50" s="233"/>
      <c r="B50" s="26"/>
      <c r="C50" s="7"/>
      <c r="D50" s="142" t="s">
        <v>436</v>
      </c>
      <c r="E50" s="140"/>
      <c r="G50" s="233"/>
      <c r="H50" s="26"/>
      <c r="I50" s="7"/>
      <c r="J50" s="142" t="s">
        <v>436</v>
      </c>
      <c r="K50" s="140"/>
    </row>
    <row r="51" spans="1:11" ht="15" customHeight="1" thickBot="1" x14ac:dyDescent="0.35">
      <c r="A51" s="233"/>
      <c r="B51" s="26"/>
      <c r="C51" s="7"/>
      <c r="D51" s="142" t="s">
        <v>436</v>
      </c>
      <c r="E51" s="140"/>
      <c r="G51" s="233"/>
      <c r="H51" s="26"/>
      <c r="I51" s="7"/>
      <c r="J51" s="142" t="s">
        <v>436</v>
      </c>
      <c r="K51" s="140"/>
    </row>
    <row r="52" spans="1:11" ht="15" customHeight="1" thickBot="1" x14ac:dyDescent="0.35">
      <c r="A52" s="233"/>
      <c r="B52" s="26"/>
      <c r="C52" s="7"/>
      <c r="D52" s="142" t="s">
        <v>436</v>
      </c>
      <c r="E52" s="140"/>
      <c r="G52" s="233"/>
      <c r="H52" s="26"/>
      <c r="I52" s="7"/>
      <c r="J52" s="142" t="s">
        <v>436</v>
      </c>
      <c r="K52" s="140"/>
    </row>
    <row r="53" spans="1:11" ht="16.2" thickBot="1" x14ac:dyDescent="0.35">
      <c r="A53" s="233"/>
      <c r="B53" s="26"/>
      <c r="C53" s="7"/>
      <c r="D53" s="142" t="s">
        <v>436</v>
      </c>
      <c r="E53" s="140"/>
      <c r="G53" s="162" t="s">
        <v>430</v>
      </c>
      <c r="H53" s="140" t="s">
        <v>789</v>
      </c>
      <c r="I53" s="162" t="s">
        <v>431</v>
      </c>
      <c r="J53" s="140" t="s">
        <v>435</v>
      </c>
      <c r="K53" s="140" t="s">
        <v>434</v>
      </c>
    </row>
    <row r="54" spans="1:11" ht="16.2" thickBot="1" x14ac:dyDescent="0.35">
      <c r="A54" s="233"/>
      <c r="B54" s="26"/>
      <c r="C54" s="7"/>
      <c r="D54" s="142" t="s">
        <v>436</v>
      </c>
      <c r="E54" s="140"/>
      <c r="G54" s="233"/>
      <c r="H54" s="26"/>
      <c r="I54" s="236"/>
      <c r="J54" s="142"/>
      <c r="K54" s="140"/>
    </row>
    <row r="55" spans="1:11" ht="16.2" thickBot="1" x14ac:dyDescent="0.35">
      <c r="A55" s="233"/>
      <c r="B55" s="26"/>
      <c r="C55" s="7"/>
      <c r="D55" s="142" t="s">
        <v>436</v>
      </c>
      <c r="E55" s="140"/>
      <c r="G55" s="233"/>
      <c r="H55" s="26"/>
      <c r="I55" s="236"/>
      <c r="J55" s="142"/>
      <c r="K55" s="140"/>
    </row>
    <row r="56" spans="1:11" ht="16.2" thickBot="1" x14ac:dyDescent="0.35">
      <c r="A56" s="233"/>
      <c r="B56" s="26"/>
      <c r="C56" s="7"/>
      <c r="D56" s="142" t="s">
        <v>436</v>
      </c>
      <c r="E56" s="140"/>
      <c r="G56" s="233"/>
      <c r="H56" s="26"/>
      <c r="I56" s="236"/>
      <c r="J56" s="142"/>
      <c r="K56" s="140"/>
    </row>
    <row r="57" spans="1:11" ht="15" customHeight="1" thickBot="1" x14ac:dyDescent="0.35">
      <c r="A57" s="233"/>
      <c r="B57" s="26"/>
      <c r="C57" s="7"/>
      <c r="D57" s="142" t="s">
        <v>436</v>
      </c>
      <c r="E57" s="140"/>
      <c r="G57" s="233"/>
      <c r="H57" s="26"/>
      <c r="I57" s="236"/>
      <c r="J57" s="142"/>
      <c r="K57" s="140"/>
    </row>
    <row r="58" spans="1:11" ht="15" customHeight="1" thickBot="1" x14ac:dyDescent="0.35">
      <c r="A58" s="233"/>
      <c r="B58" s="26"/>
      <c r="C58" s="7"/>
      <c r="D58" s="142" t="s">
        <v>436</v>
      </c>
      <c r="E58" s="140"/>
      <c r="G58" s="233"/>
      <c r="H58" s="26"/>
      <c r="I58" s="236"/>
      <c r="J58" s="142"/>
      <c r="K58" s="140"/>
    </row>
    <row r="59" spans="1:11" ht="16.2" thickBot="1" x14ac:dyDescent="0.35">
      <c r="A59" s="233"/>
      <c r="B59" s="26"/>
      <c r="C59" s="7"/>
      <c r="D59" s="142" t="s">
        <v>436</v>
      </c>
      <c r="E59" s="140"/>
      <c r="G59" s="233"/>
      <c r="H59" s="26"/>
      <c r="I59" s="236"/>
      <c r="J59" s="142"/>
      <c r="K59" s="140"/>
    </row>
    <row r="60" spans="1:11" ht="16.2" thickBot="1" x14ac:dyDescent="0.35">
      <c r="A60" s="233"/>
      <c r="B60" s="26"/>
      <c r="C60" s="7"/>
      <c r="D60" s="142" t="s">
        <v>436</v>
      </c>
      <c r="E60" s="140"/>
      <c r="G60" s="233"/>
      <c r="H60" s="26"/>
      <c r="I60" s="236"/>
      <c r="J60" s="142"/>
      <c r="K60" s="140"/>
    </row>
    <row r="61" spans="1:11" ht="16.2" thickBot="1" x14ac:dyDescent="0.35">
      <c r="A61" s="233"/>
      <c r="B61" s="26"/>
      <c r="C61" s="7"/>
      <c r="D61" s="142" t="s">
        <v>436</v>
      </c>
      <c r="E61" s="140"/>
      <c r="G61" s="233"/>
      <c r="H61" s="26"/>
      <c r="I61" s="236"/>
      <c r="J61" s="142"/>
      <c r="K61" s="140"/>
    </row>
    <row r="62" spans="1:11" ht="16.2" thickBot="1" x14ac:dyDescent="0.35">
      <c r="A62" s="233"/>
      <c r="B62" s="26"/>
      <c r="C62" s="7"/>
      <c r="D62" s="142" t="s">
        <v>436</v>
      </c>
      <c r="E62" s="140"/>
      <c r="G62" s="233"/>
      <c r="H62" s="26"/>
      <c r="I62" s="236"/>
      <c r="J62" s="142"/>
      <c r="K62" s="140"/>
    </row>
    <row r="63" spans="1:11" ht="16.2" thickBot="1" x14ac:dyDescent="0.35">
      <c r="A63" s="233"/>
      <c r="B63" s="26"/>
      <c r="C63" s="7"/>
      <c r="D63" s="142" t="s">
        <v>436</v>
      </c>
      <c r="E63" s="140"/>
      <c r="G63" s="162" t="s">
        <v>430</v>
      </c>
      <c r="H63" s="140" t="s">
        <v>790</v>
      </c>
      <c r="I63" s="162" t="s">
        <v>431</v>
      </c>
      <c r="J63" s="140" t="s">
        <v>435</v>
      </c>
      <c r="K63" s="140" t="s">
        <v>434</v>
      </c>
    </row>
    <row r="64" spans="1:11" ht="16.2" thickBot="1" x14ac:dyDescent="0.35">
      <c r="A64" s="233"/>
      <c r="B64" s="26"/>
      <c r="C64" s="7"/>
      <c r="D64" s="142" t="s">
        <v>436</v>
      </c>
      <c r="E64" s="140"/>
      <c r="G64" s="233"/>
      <c r="H64" s="26"/>
      <c r="I64" s="236"/>
      <c r="J64" s="142"/>
      <c r="K64" s="140"/>
    </row>
    <row r="65" spans="1:11" ht="16.2" thickBot="1" x14ac:dyDescent="0.35">
      <c r="A65" s="162" t="s">
        <v>430</v>
      </c>
      <c r="B65" s="140" t="s">
        <v>694</v>
      </c>
      <c r="C65" s="162" t="s">
        <v>431</v>
      </c>
      <c r="D65" s="140" t="s">
        <v>435</v>
      </c>
      <c r="E65" s="140" t="s">
        <v>434</v>
      </c>
      <c r="G65" s="233"/>
      <c r="H65" s="26"/>
      <c r="I65" s="236"/>
      <c r="J65" s="142"/>
      <c r="K65" s="140"/>
    </row>
    <row r="66" spans="1:11" ht="16.2" thickBot="1" x14ac:dyDescent="0.35">
      <c r="A66" s="233"/>
      <c r="B66" s="26"/>
      <c r="C66" s="7"/>
      <c r="D66" s="142" t="s">
        <v>436</v>
      </c>
      <c r="E66" s="140"/>
      <c r="G66" s="233"/>
      <c r="H66" s="26"/>
      <c r="I66" s="236"/>
      <c r="J66" s="142"/>
      <c r="K66" s="140"/>
    </row>
    <row r="67" spans="1:11" ht="16.2" thickBot="1" x14ac:dyDescent="0.35">
      <c r="A67" s="233"/>
      <c r="B67" s="26"/>
      <c r="C67" s="7"/>
      <c r="D67" s="142" t="s">
        <v>436</v>
      </c>
      <c r="E67" s="140"/>
      <c r="G67" s="233"/>
      <c r="H67" s="26"/>
      <c r="I67" s="236"/>
      <c r="J67" s="142"/>
      <c r="K67" s="140"/>
    </row>
    <row r="68" spans="1:11" ht="16.2" thickBot="1" x14ac:dyDescent="0.35">
      <c r="A68" s="233"/>
      <c r="B68" s="26"/>
      <c r="C68" s="7"/>
      <c r="D68" s="142" t="s">
        <v>436</v>
      </c>
      <c r="E68" s="140"/>
      <c r="G68" s="233"/>
      <c r="H68" s="26"/>
      <c r="I68" s="236"/>
      <c r="J68" s="142"/>
      <c r="K68" s="140"/>
    </row>
    <row r="69" spans="1:11" ht="16.2" thickBot="1" x14ac:dyDescent="0.35">
      <c r="A69" s="233"/>
      <c r="B69" s="26"/>
      <c r="C69" s="7"/>
      <c r="D69" s="142" t="s">
        <v>436</v>
      </c>
      <c r="E69" s="140"/>
      <c r="G69" s="233"/>
      <c r="H69" s="26"/>
      <c r="I69" s="236"/>
      <c r="J69" s="142"/>
      <c r="K69" s="140"/>
    </row>
    <row r="70" spans="1:11" ht="16.2" thickBot="1" x14ac:dyDescent="0.35">
      <c r="A70" s="233"/>
      <c r="B70" s="26"/>
      <c r="C70" s="7"/>
      <c r="D70" s="142" t="s">
        <v>436</v>
      </c>
      <c r="E70" s="140"/>
      <c r="G70" s="233"/>
      <c r="H70" s="26"/>
      <c r="I70" s="236"/>
      <c r="J70" s="142"/>
      <c r="K70" s="140"/>
    </row>
    <row r="71" spans="1:11" ht="16.2" thickBot="1" x14ac:dyDescent="0.35">
      <c r="A71" s="233"/>
      <c r="B71" s="26"/>
      <c r="C71" s="7"/>
      <c r="D71" s="142" t="s">
        <v>436</v>
      </c>
      <c r="E71" s="140"/>
      <c r="G71" s="233"/>
      <c r="H71" s="26"/>
      <c r="I71" s="236"/>
      <c r="J71" s="142"/>
      <c r="K71" s="140"/>
    </row>
    <row r="72" spans="1:11" ht="16.2" thickBot="1" x14ac:dyDescent="0.35">
      <c r="A72" s="233"/>
      <c r="B72" s="26"/>
      <c r="C72" s="7"/>
      <c r="D72" s="142" t="s">
        <v>436</v>
      </c>
      <c r="E72" s="140"/>
      <c r="G72" s="237"/>
      <c r="H72" s="32"/>
      <c r="I72" s="238"/>
      <c r="J72" s="226"/>
      <c r="K72" s="227"/>
    </row>
    <row r="73" spans="1:11" ht="16.2" thickBot="1" x14ac:dyDescent="0.35">
      <c r="A73" s="233"/>
      <c r="B73" s="26"/>
      <c r="C73" s="7"/>
      <c r="D73" s="142" t="s">
        <v>436</v>
      </c>
      <c r="E73" s="140"/>
      <c r="G73" s="162" t="s">
        <v>430</v>
      </c>
      <c r="H73" s="140" t="s">
        <v>791</v>
      </c>
      <c r="I73" s="162" t="s">
        <v>431</v>
      </c>
      <c r="J73" s="140" t="s">
        <v>435</v>
      </c>
      <c r="K73" s="140" t="s">
        <v>434</v>
      </c>
    </row>
    <row r="74" spans="1:11" ht="16.2" thickBot="1" x14ac:dyDescent="0.35">
      <c r="A74" s="233"/>
      <c r="B74" s="26"/>
      <c r="C74" s="7"/>
      <c r="D74" s="142" t="s">
        <v>436</v>
      </c>
      <c r="E74" s="140"/>
      <c r="G74" s="233"/>
      <c r="H74" s="26"/>
      <c r="I74" s="236"/>
      <c r="J74" s="142"/>
      <c r="K74" s="140"/>
    </row>
    <row r="75" spans="1:11" ht="16.2" thickBot="1" x14ac:dyDescent="0.35">
      <c r="A75" s="233"/>
      <c r="B75" s="26"/>
      <c r="C75" s="7"/>
      <c r="D75" s="142" t="s">
        <v>436</v>
      </c>
      <c r="E75" s="140"/>
      <c r="G75" s="233"/>
      <c r="H75" s="26"/>
      <c r="I75" s="236"/>
      <c r="J75" s="142"/>
      <c r="K75" s="140"/>
    </row>
    <row r="76" spans="1:11" ht="16.2" thickBot="1" x14ac:dyDescent="0.35">
      <c r="A76" s="233"/>
      <c r="B76" s="26"/>
      <c r="C76" s="7"/>
      <c r="D76" s="142" t="s">
        <v>436</v>
      </c>
      <c r="E76" s="140"/>
      <c r="G76" s="233"/>
      <c r="H76" s="26"/>
      <c r="I76" s="236"/>
      <c r="J76" s="142"/>
      <c r="K76" s="140"/>
    </row>
    <row r="77" spans="1:11" ht="16.2" thickBot="1" x14ac:dyDescent="0.35">
      <c r="A77" s="233"/>
      <c r="B77" s="26"/>
      <c r="C77" s="7"/>
      <c r="D77" s="142" t="s">
        <v>436</v>
      </c>
      <c r="E77" s="140"/>
      <c r="G77" s="233"/>
      <c r="H77" s="26"/>
      <c r="I77" s="236"/>
      <c r="J77" s="142"/>
      <c r="K77" s="140"/>
    </row>
    <row r="78" spans="1:11" ht="16.2" thickBot="1" x14ac:dyDescent="0.35">
      <c r="A78" s="233"/>
      <c r="B78" s="26"/>
      <c r="C78" s="7"/>
      <c r="D78" s="142" t="s">
        <v>436</v>
      </c>
      <c r="E78" s="140"/>
      <c r="G78" s="233"/>
      <c r="H78" s="26"/>
      <c r="I78" s="236"/>
      <c r="J78" s="142"/>
      <c r="K78" s="140"/>
    </row>
    <row r="79" spans="1:11" ht="16.2" thickBot="1" x14ac:dyDescent="0.35">
      <c r="A79" s="233"/>
      <c r="B79" s="26"/>
      <c r="C79" s="7"/>
      <c r="D79" s="142" t="s">
        <v>436</v>
      </c>
      <c r="E79" s="140"/>
      <c r="G79" s="233"/>
      <c r="H79" s="26"/>
      <c r="I79" s="236"/>
      <c r="J79" s="142"/>
      <c r="K79" s="140"/>
    </row>
    <row r="80" spans="1:11" ht="16.2" thickBot="1" x14ac:dyDescent="0.35">
      <c r="A80" s="233"/>
      <c r="B80" s="26"/>
      <c r="C80" s="7"/>
      <c r="D80" s="142" t="s">
        <v>436</v>
      </c>
      <c r="E80" s="140"/>
      <c r="G80" s="233"/>
      <c r="H80" s="26"/>
      <c r="I80" s="236"/>
      <c r="J80" s="142"/>
      <c r="K80" s="140"/>
    </row>
    <row r="81" spans="1:11" ht="16.2" thickBot="1" x14ac:dyDescent="0.35">
      <c r="A81" s="233"/>
      <c r="B81" s="26"/>
      <c r="C81" s="7"/>
      <c r="D81" s="142" t="s">
        <v>436</v>
      </c>
      <c r="E81" s="140"/>
      <c r="G81" s="233"/>
      <c r="H81" s="26"/>
      <c r="I81" s="236"/>
      <c r="J81" s="142"/>
      <c r="K81" s="140"/>
    </row>
    <row r="82" spans="1:11" ht="16.2" thickBot="1" x14ac:dyDescent="0.35">
      <c r="A82" s="233"/>
      <c r="B82" s="26"/>
      <c r="C82" s="7"/>
      <c r="D82" s="142" t="s">
        <v>436</v>
      </c>
      <c r="E82" s="140"/>
      <c r="G82" s="237"/>
      <c r="H82" s="32"/>
      <c r="I82" s="238"/>
      <c r="J82" s="226"/>
      <c r="K82" s="227"/>
    </row>
    <row r="83" spans="1:11" ht="16.2" thickBot="1" x14ac:dyDescent="0.35">
      <c r="A83" s="233"/>
      <c r="B83" s="26"/>
      <c r="C83" s="7"/>
      <c r="D83" s="142" t="s">
        <v>436</v>
      </c>
      <c r="E83" s="140"/>
      <c r="G83" s="239"/>
      <c r="H83" s="240"/>
      <c r="I83" s="241"/>
      <c r="J83" s="230"/>
      <c r="K83" s="231"/>
    </row>
    <row r="84" spans="1:11" ht="16.2" thickBot="1" x14ac:dyDescent="0.35">
      <c r="A84" s="233"/>
      <c r="B84" s="26"/>
      <c r="C84" s="7"/>
      <c r="D84" s="142" t="s">
        <v>436</v>
      </c>
      <c r="E84" s="140"/>
      <c r="G84" s="250" t="s">
        <v>26</v>
      </c>
      <c r="H84" s="251"/>
      <c r="I84" s="228"/>
      <c r="J84" s="228"/>
      <c r="K84" s="229" t="s">
        <v>13</v>
      </c>
    </row>
    <row r="85" spans="1:11" ht="16.2" thickBot="1" x14ac:dyDescent="0.35">
      <c r="A85" s="233"/>
      <c r="B85" s="26"/>
      <c r="C85" s="7"/>
      <c r="D85" s="142" t="s">
        <v>436</v>
      </c>
      <c r="E85" s="140"/>
      <c r="G85" s="163" t="s">
        <v>30</v>
      </c>
      <c r="H85" s="147" t="s">
        <v>700</v>
      </c>
      <c r="I85" s="146"/>
      <c r="J85" s="145"/>
      <c r="K85" s="148"/>
    </row>
    <row r="86" spans="1:11" ht="16.2" thickBot="1" x14ac:dyDescent="0.35">
      <c r="A86" s="233"/>
      <c r="B86" s="26"/>
      <c r="C86" s="7"/>
      <c r="D86" s="142" t="s">
        <v>436</v>
      </c>
      <c r="E86" s="140"/>
      <c r="G86" s="163" t="s">
        <v>33</v>
      </c>
      <c r="H86" s="147" t="s">
        <v>701</v>
      </c>
      <c r="I86" s="144"/>
      <c r="J86" s="145"/>
      <c r="K86" s="148"/>
    </row>
    <row r="87" spans="1:11" ht="16.2" thickBot="1" x14ac:dyDescent="0.35">
      <c r="A87" s="233"/>
      <c r="B87" s="26"/>
      <c r="C87" s="7"/>
      <c r="D87" s="142" t="s">
        <v>436</v>
      </c>
      <c r="E87" s="140"/>
      <c r="G87" s="163" t="s">
        <v>686</v>
      </c>
      <c r="H87" s="147" t="s">
        <v>703</v>
      </c>
      <c r="I87" s="144"/>
      <c r="J87" s="145"/>
      <c r="K87" s="148"/>
    </row>
    <row r="88" spans="1:11" ht="16.2" thickBot="1" x14ac:dyDescent="0.35">
      <c r="A88" s="233"/>
      <c r="B88" s="26"/>
      <c r="C88" s="7"/>
      <c r="D88" s="142" t="s">
        <v>436</v>
      </c>
      <c r="E88" s="140"/>
      <c r="G88" s="163" t="s">
        <v>696</v>
      </c>
      <c r="H88" s="147" t="s">
        <v>702</v>
      </c>
      <c r="I88" s="242"/>
      <c r="J88" s="166"/>
      <c r="K88" s="167"/>
    </row>
    <row r="89" spans="1:11" ht="16.2" thickBot="1" x14ac:dyDescent="0.35">
      <c r="A89" s="233"/>
      <c r="B89" s="26"/>
      <c r="C89" s="7"/>
      <c r="D89" s="142" t="s">
        <v>436</v>
      </c>
      <c r="E89" s="140"/>
      <c r="G89" s="163" t="s">
        <v>697</v>
      </c>
      <c r="H89" s="165" t="s">
        <v>704</v>
      </c>
      <c r="I89" s="242"/>
      <c r="J89" s="166"/>
      <c r="K89" s="167"/>
    </row>
    <row r="90" spans="1:11" ht="16.2" thickBot="1" x14ac:dyDescent="0.35">
      <c r="A90" s="233"/>
      <c r="B90" s="26"/>
      <c r="C90" s="7"/>
      <c r="D90" s="142" t="s">
        <v>436</v>
      </c>
      <c r="E90" s="140"/>
      <c r="G90" s="163" t="s">
        <v>698</v>
      </c>
      <c r="H90" s="165" t="s">
        <v>29</v>
      </c>
      <c r="I90" s="242"/>
      <c r="J90" s="166"/>
      <c r="K90" s="167"/>
    </row>
    <row r="91" spans="1:11" ht="16.2" thickBot="1" x14ac:dyDescent="0.35">
      <c r="A91" s="233"/>
      <c r="B91" s="26"/>
      <c r="C91" s="7"/>
      <c r="D91" s="142" t="s">
        <v>436</v>
      </c>
      <c r="E91" s="140"/>
      <c r="G91" s="163" t="s">
        <v>699</v>
      </c>
      <c r="H91" s="165" t="s">
        <v>705</v>
      </c>
      <c r="I91" s="242"/>
      <c r="J91" s="166"/>
      <c r="K91" s="167"/>
    </row>
    <row r="92" spans="1:11" ht="16.2" thickBot="1" x14ac:dyDescent="0.35">
      <c r="A92" s="233"/>
      <c r="B92" s="26"/>
      <c r="C92" s="7"/>
      <c r="D92" s="142" t="s">
        <v>436</v>
      </c>
      <c r="E92" s="140"/>
      <c r="G92" s="163" t="s">
        <v>706</v>
      </c>
      <c r="H92" s="165" t="s">
        <v>32</v>
      </c>
      <c r="I92" s="242"/>
      <c r="J92" s="166"/>
      <c r="K92" s="167"/>
    </row>
    <row r="93" spans="1:11" ht="16.2" thickBot="1" x14ac:dyDescent="0.35">
      <c r="A93" s="233"/>
      <c r="B93" s="26"/>
      <c r="C93" s="7"/>
      <c r="D93" s="142" t="s">
        <v>436</v>
      </c>
      <c r="E93" s="140"/>
      <c r="G93" s="163" t="s">
        <v>794</v>
      </c>
      <c r="H93" s="165" t="s">
        <v>797</v>
      </c>
      <c r="I93" s="242"/>
      <c r="J93" s="166"/>
      <c r="K93" s="167"/>
    </row>
    <row r="94" spans="1:11" ht="16.2" thickBot="1" x14ac:dyDescent="0.35">
      <c r="A94" s="233"/>
      <c r="B94" s="26"/>
      <c r="C94" s="7"/>
      <c r="D94" s="142" t="s">
        <v>436</v>
      </c>
      <c r="E94" s="140"/>
      <c r="G94" s="163" t="s">
        <v>795</v>
      </c>
      <c r="H94" s="165" t="s">
        <v>789</v>
      </c>
      <c r="I94" s="242"/>
      <c r="J94" s="166"/>
      <c r="K94" s="167"/>
    </row>
    <row r="95" spans="1:11" ht="16.2" thickBot="1" x14ac:dyDescent="0.35">
      <c r="A95" s="233"/>
      <c r="B95" s="26"/>
      <c r="C95" s="7"/>
      <c r="D95" s="142" t="s">
        <v>436</v>
      </c>
      <c r="E95" s="140"/>
      <c r="G95" s="163" t="s">
        <v>796</v>
      </c>
      <c r="H95" s="165" t="s">
        <v>798</v>
      </c>
      <c r="I95" s="242"/>
      <c r="J95" s="166"/>
      <c r="K95" s="167"/>
    </row>
    <row r="96" spans="1:11" ht="16.2" thickBot="1" x14ac:dyDescent="0.35">
      <c r="A96" s="233"/>
      <c r="B96" s="26"/>
      <c r="C96" s="7"/>
      <c r="D96" s="142" t="s">
        <v>436</v>
      </c>
      <c r="E96" s="140"/>
      <c r="G96" s="252" t="s">
        <v>17</v>
      </c>
      <c r="H96" s="253"/>
      <c r="I96" s="149"/>
      <c r="J96" s="150"/>
      <c r="K96" s="151">
        <f>SUM(K85:K92)</f>
        <v>0</v>
      </c>
    </row>
    <row r="97" spans="1:5" ht="16.2" thickBot="1" x14ac:dyDescent="0.35">
      <c r="A97" s="233"/>
      <c r="B97" s="26"/>
      <c r="C97" s="7"/>
      <c r="D97" s="142" t="s">
        <v>436</v>
      </c>
      <c r="E97" s="140"/>
    </row>
    <row r="98" spans="1:5" ht="16.2" thickBot="1" x14ac:dyDescent="0.35">
      <c r="A98" s="233"/>
      <c r="B98" s="26"/>
      <c r="C98" s="7"/>
      <c r="D98" s="142" t="s">
        <v>436</v>
      </c>
      <c r="E98" s="140"/>
    </row>
    <row r="99" spans="1:5" ht="16.2" thickBot="1" x14ac:dyDescent="0.35">
      <c r="A99" s="233"/>
      <c r="B99" s="26"/>
      <c r="C99" s="7"/>
      <c r="D99" s="142" t="s">
        <v>436</v>
      </c>
      <c r="E99" s="140"/>
    </row>
    <row r="100" spans="1:5" ht="16.2" thickBot="1" x14ac:dyDescent="0.35">
      <c r="A100" s="233"/>
      <c r="B100" s="26"/>
      <c r="C100" s="7"/>
      <c r="D100" s="142" t="s">
        <v>436</v>
      </c>
      <c r="E100" s="140"/>
    </row>
    <row r="101" spans="1:5" ht="16.2" thickBot="1" x14ac:dyDescent="0.35">
      <c r="A101" s="233"/>
      <c r="B101" s="26"/>
      <c r="C101" s="7"/>
      <c r="D101" s="142" t="s">
        <v>436</v>
      </c>
      <c r="E101" s="140"/>
    </row>
    <row r="102" spans="1:5" ht="16.2" thickBot="1" x14ac:dyDescent="0.35">
      <c r="A102" s="233"/>
      <c r="B102" s="26"/>
      <c r="C102" s="7"/>
      <c r="D102" s="142" t="s">
        <v>436</v>
      </c>
      <c r="E102" s="140"/>
    </row>
    <row r="103" spans="1:5" ht="16.2" thickBot="1" x14ac:dyDescent="0.35">
      <c r="A103" s="233"/>
      <c r="B103" s="26"/>
      <c r="C103" s="7"/>
      <c r="D103" s="142" t="s">
        <v>436</v>
      </c>
      <c r="E103" s="140"/>
    </row>
    <row r="104" spans="1:5" ht="16.2" thickBot="1" x14ac:dyDescent="0.35">
      <c r="A104" s="233"/>
      <c r="B104" s="26"/>
      <c r="C104" s="7"/>
      <c r="D104" s="142" t="s">
        <v>436</v>
      </c>
      <c r="E104" s="140"/>
    </row>
    <row r="105" spans="1:5" ht="16.2" thickBot="1" x14ac:dyDescent="0.35">
      <c r="A105" s="233"/>
      <c r="B105" s="26"/>
      <c r="C105" s="7"/>
      <c r="D105" s="142" t="s">
        <v>436</v>
      </c>
      <c r="E105" s="140"/>
    </row>
    <row r="106" spans="1:5" ht="16.2" thickBot="1" x14ac:dyDescent="0.35">
      <c r="A106" s="233"/>
      <c r="B106" s="26"/>
      <c r="C106" s="7"/>
      <c r="D106" s="142" t="s">
        <v>436</v>
      </c>
      <c r="E106" s="140"/>
    </row>
    <row r="107" spans="1:5" ht="16.2" thickBot="1" x14ac:dyDescent="0.35">
      <c r="A107" s="233"/>
      <c r="B107" s="26"/>
      <c r="C107" s="7"/>
      <c r="D107" s="142" t="s">
        <v>436</v>
      </c>
      <c r="E107" s="140"/>
    </row>
    <row r="108" spans="1:5" ht="16.2" thickBot="1" x14ac:dyDescent="0.35">
      <c r="A108" s="233"/>
      <c r="B108" s="26"/>
      <c r="C108" s="7"/>
      <c r="D108" s="142" t="s">
        <v>436</v>
      </c>
      <c r="E108" s="140"/>
    </row>
    <row r="109" spans="1:5" ht="16.2" thickBot="1" x14ac:dyDescent="0.35">
      <c r="A109" s="233"/>
      <c r="B109" s="26"/>
      <c r="C109" s="7"/>
      <c r="D109" s="142" t="s">
        <v>436</v>
      </c>
      <c r="E109" s="140"/>
    </row>
    <row r="110" spans="1:5" ht="16.2" thickBot="1" x14ac:dyDescent="0.35">
      <c r="A110" s="233"/>
      <c r="B110" s="26"/>
      <c r="C110" s="7"/>
      <c r="D110" s="142" t="s">
        <v>436</v>
      </c>
      <c r="E110" s="140"/>
    </row>
    <row r="111" spans="1:5" ht="16.2" thickBot="1" x14ac:dyDescent="0.35">
      <c r="A111" s="233"/>
      <c r="B111" s="26"/>
      <c r="C111" s="7"/>
      <c r="D111" s="142" t="s">
        <v>436</v>
      </c>
      <c r="E111" s="140"/>
    </row>
    <row r="112" spans="1:5" ht="16.2" thickBot="1" x14ac:dyDescent="0.35">
      <c r="A112" s="233"/>
      <c r="B112" s="26"/>
      <c r="C112" s="7"/>
      <c r="D112" s="142" t="s">
        <v>436</v>
      </c>
      <c r="E112" s="140"/>
    </row>
    <row r="113" spans="1:5" ht="16.2" thickBot="1" x14ac:dyDescent="0.35">
      <c r="A113" s="233"/>
      <c r="B113" s="26"/>
      <c r="C113" s="7"/>
      <c r="D113" s="142" t="s">
        <v>436</v>
      </c>
      <c r="E113" s="140"/>
    </row>
    <row r="114" spans="1:5" ht="16.2" thickBot="1" x14ac:dyDescent="0.35">
      <c r="A114" s="233"/>
      <c r="B114" s="26"/>
      <c r="C114" s="7"/>
      <c r="D114" s="142" t="s">
        <v>436</v>
      </c>
      <c r="E114" s="140"/>
    </row>
    <row r="115" spans="1:5" ht="16.2" thickBot="1" x14ac:dyDescent="0.35">
      <c r="A115" s="233"/>
      <c r="B115" s="26"/>
      <c r="C115" s="7"/>
      <c r="D115" s="142" t="s">
        <v>436</v>
      </c>
      <c r="E115" s="140"/>
    </row>
    <row r="116" spans="1:5" ht="16.2" thickBot="1" x14ac:dyDescent="0.35">
      <c r="A116" s="233"/>
      <c r="B116" s="26"/>
      <c r="C116" s="7"/>
      <c r="D116" s="142" t="s">
        <v>436</v>
      </c>
      <c r="E116" s="140"/>
    </row>
    <row r="117" spans="1:5" ht="16.2" thickBot="1" x14ac:dyDescent="0.35">
      <c r="A117" s="233"/>
      <c r="B117" s="26"/>
      <c r="C117" s="7"/>
      <c r="D117" s="142" t="s">
        <v>436</v>
      </c>
      <c r="E117" s="140"/>
    </row>
    <row r="118" spans="1:5" ht="16.2" thickBot="1" x14ac:dyDescent="0.35">
      <c r="A118" s="233"/>
      <c r="B118" s="26"/>
      <c r="C118" s="7"/>
      <c r="D118" s="142" t="s">
        <v>436</v>
      </c>
      <c r="E118" s="140"/>
    </row>
    <row r="119" spans="1:5" ht="16.2" thickBot="1" x14ac:dyDescent="0.35">
      <c r="A119" s="233"/>
      <c r="B119" s="26"/>
      <c r="C119" s="7"/>
      <c r="D119" s="142" t="s">
        <v>436</v>
      </c>
      <c r="E119" s="140"/>
    </row>
    <row r="120" spans="1:5" ht="16.2" thickBot="1" x14ac:dyDescent="0.35">
      <c r="A120" s="233"/>
      <c r="B120" s="26"/>
      <c r="C120" s="7"/>
      <c r="D120" s="142" t="s">
        <v>436</v>
      </c>
      <c r="E120" s="140"/>
    </row>
    <row r="121" spans="1:5" ht="16.2" thickBot="1" x14ac:dyDescent="0.35">
      <c r="A121" s="233"/>
      <c r="B121" s="26"/>
      <c r="C121" s="7"/>
      <c r="D121" s="142" t="s">
        <v>436</v>
      </c>
      <c r="E121" s="140"/>
    </row>
    <row r="122" spans="1:5" ht="16.2" thickBot="1" x14ac:dyDescent="0.35">
      <c r="A122" s="233"/>
      <c r="B122" s="26"/>
      <c r="C122" s="7"/>
      <c r="D122" s="142" t="s">
        <v>436</v>
      </c>
      <c r="E122" s="140"/>
    </row>
    <row r="123" spans="1:5" ht="16.2" thickBot="1" x14ac:dyDescent="0.35">
      <c r="A123" s="233"/>
      <c r="B123" s="26"/>
      <c r="C123" s="7"/>
      <c r="D123" s="142" t="s">
        <v>436</v>
      </c>
      <c r="E123" s="140"/>
    </row>
    <row r="124" spans="1:5" ht="16.2" thickBot="1" x14ac:dyDescent="0.35">
      <c r="A124" s="233"/>
      <c r="B124" s="26"/>
      <c r="C124" s="7"/>
      <c r="D124" s="142" t="s">
        <v>436</v>
      </c>
      <c r="E124" s="140"/>
    </row>
    <row r="125" spans="1:5" ht="16.2" thickBot="1" x14ac:dyDescent="0.35">
      <c r="A125" s="233"/>
      <c r="B125" s="26"/>
      <c r="C125" s="7"/>
      <c r="D125" s="142" t="s">
        <v>436</v>
      </c>
      <c r="E125" s="140"/>
    </row>
    <row r="126" spans="1:5" ht="16.2" thickBot="1" x14ac:dyDescent="0.35">
      <c r="A126" s="233"/>
      <c r="B126" s="26"/>
      <c r="C126" s="7"/>
      <c r="D126" s="142" t="s">
        <v>436</v>
      </c>
      <c r="E126" s="140"/>
    </row>
    <row r="127" spans="1:5" ht="16.2" thickBot="1" x14ac:dyDescent="0.35">
      <c r="A127" s="233"/>
      <c r="B127" s="26"/>
      <c r="C127" s="7"/>
      <c r="D127" s="142" t="s">
        <v>436</v>
      </c>
      <c r="E127" s="140"/>
    </row>
  </sheetData>
  <mergeCells count="3">
    <mergeCell ref="G84:H84"/>
    <mergeCell ref="G96:H96"/>
    <mergeCell ref="B1:K1"/>
  </mergeCells>
  <phoneticPr fontId="10" type="noConversion"/>
  <pageMargins left="0.51180599999999998" right="0.51180599999999998" top="0.78749999999999998" bottom="0.78749999999999998" header="0.315278" footer="0.315278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69"/>
  <sheetViews>
    <sheetView topLeftCell="A13" zoomScale="70" zoomScaleNormal="70" workbookViewId="0">
      <selection activeCell="E42" sqref="E42"/>
    </sheetView>
  </sheetViews>
  <sheetFormatPr defaultRowHeight="14.4" x14ac:dyDescent="0.3"/>
  <cols>
    <col min="1" max="1" width="6" customWidth="1"/>
    <col min="2" max="2" width="14.33203125" customWidth="1"/>
    <col min="3" max="3" width="15.6640625" customWidth="1"/>
    <col min="4" max="4" width="10.44140625" customWidth="1"/>
    <col min="5" max="5" width="22.5546875" customWidth="1"/>
    <col min="6" max="6" width="13.33203125" customWidth="1"/>
    <col min="7" max="7" width="16.44140625" customWidth="1"/>
    <col min="8" max="8" width="17.44140625" customWidth="1"/>
    <col min="10" max="10" width="11.44140625" customWidth="1"/>
    <col min="12" max="12" width="15.44140625" customWidth="1"/>
    <col min="18" max="18" width="11.44140625" customWidth="1"/>
    <col min="25" max="25" width="15.6640625" customWidth="1"/>
    <col min="27" max="27" width="14.33203125" customWidth="1"/>
    <col min="29" max="29" width="13.33203125" customWidth="1"/>
  </cols>
  <sheetData>
    <row r="1" spans="1:22" ht="26.4" thickBot="1" x14ac:dyDescent="0.55000000000000004">
      <c r="A1" s="296" t="s">
        <v>429</v>
      </c>
      <c r="B1" s="282"/>
      <c r="C1" s="281"/>
      <c r="D1" s="281"/>
      <c r="E1" s="282"/>
      <c r="F1" s="263"/>
      <c r="G1" s="294"/>
      <c r="H1" s="280" t="s">
        <v>732</v>
      </c>
      <c r="I1" s="281"/>
      <c r="J1" s="281"/>
      <c r="K1" s="282"/>
      <c r="L1" s="282"/>
      <c r="M1" s="263"/>
      <c r="N1" s="264"/>
      <c r="O1" s="283" t="s">
        <v>738</v>
      </c>
      <c r="P1" s="284"/>
      <c r="Q1" s="284"/>
      <c r="R1" s="284"/>
      <c r="S1" s="284"/>
      <c r="T1" s="284"/>
      <c r="U1" s="284"/>
      <c r="V1" s="181"/>
    </row>
    <row r="2" spans="1:22" ht="12.75" customHeight="1" x14ac:dyDescent="0.5">
      <c r="A2" s="120"/>
      <c r="B2" s="160"/>
      <c r="C2" s="266" t="s">
        <v>459</v>
      </c>
      <c r="D2" s="266"/>
      <c r="E2" s="160"/>
      <c r="F2" s="134"/>
      <c r="G2" s="134"/>
      <c r="H2" s="265" t="s">
        <v>770</v>
      </c>
      <c r="I2" s="266"/>
      <c r="J2" s="266"/>
      <c r="K2" s="160"/>
      <c r="L2" s="160"/>
      <c r="M2" s="134"/>
      <c r="N2" s="121"/>
      <c r="O2" s="124"/>
      <c r="P2" s="261" t="s">
        <v>733</v>
      </c>
      <c r="Q2" s="261"/>
      <c r="R2" s="180"/>
      <c r="S2" s="20"/>
      <c r="T2" s="20"/>
      <c r="U2" s="20"/>
      <c r="V2" s="126"/>
    </row>
    <row r="3" spans="1:22" ht="14.25" customHeight="1" thickBot="1" x14ac:dyDescent="0.55000000000000004">
      <c r="A3" s="120"/>
      <c r="B3" s="161"/>
      <c r="C3" s="268" t="s">
        <v>711</v>
      </c>
      <c r="D3" s="297"/>
      <c r="E3" s="161"/>
      <c r="F3" s="134"/>
      <c r="G3" s="134"/>
      <c r="H3" s="267" t="s">
        <v>723</v>
      </c>
      <c r="I3" s="268"/>
      <c r="J3" s="268"/>
      <c r="K3" s="161"/>
      <c r="L3" s="161"/>
      <c r="M3" s="134"/>
      <c r="N3" s="121"/>
      <c r="O3" s="124"/>
      <c r="P3" s="255" t="s">
        <v>734</v>
      </c>
      <c r="Q3" s="255"/>
      <c r="R3" s="179"/>
      <c r="S3" s="20"/>
      <c r="T3" s="20"/>
      <c r="U3" s="20"/>
      <c r="V3" s="126"/>
    </row>
    <row r="4" spans="1:22" ht="27" customHeight="1" x14ac:dyDescent="0.5">
      <c r="A4" s="295"/>
      <c r="B4" s="133"/>
      <c r="C4" s="134"/>
      <c r="D4" s="256" t="s">
        <v>419</v>
      </c>
      <c r="E4" s="133"/>
      <c r="F4" s="158"/>
      <c r="G4" s="158"/>
      <c r="H4" s="124"/>
      <c r="I4" s="125"/>
      <c r="J4" s="259" t="s">
        <v>419</v>
      </c>
      <c r="K4" s="20"/>
      <c r="L4" s="20"/>
      <c r="M4" s="20"/>
      <c r="N4" s="126"/>
      <c r="O4" s="124"/>
      <c r="P4" s="20"/>
      <c r="Q4" s="20"/>
      <c r="R4" s="256" t="s">
        <v>419</v>
      </c>
      <c r="S4" s="20"/>
      <c r="T4" s="20"/>
      <c r="U4" s="20"/>
      <c r="V4" s="126"/>
    </row>
    <row r="5" spans="1:22" ht="15.6" x14ac:dyDescent="0.3">
      <c r="A5" s="295"/>
      <c r="B5" s="127"/>
      <c r="C5" s="20"/>
      <c r="D5" s="259"/>
      <c r="E5" s="132"/>
      <c r="F5" s="159"/>
      <c r="G5" s="159"/>
      <c r="H5" s="124"/>
      <c r="I5" s="127"/>
      <c r="J5" s="259"/>
      <c r="K5" s="20"/>
      <c r="L5" s="20"/>
      <c r="M5" s="20"/>
      <c r="N5" s="126"/>
      <c r="O5" s="124"/>
      <c r="P5" s="20"/>
      <c r="Q5" s="20"/>
      <c r="R5" s="257"/>
      <c r="S5" s="254" t="s">
        <v>767</v>
      </c>
      <c r="T5" s="254"/>
      <c r="U5" s="20"/>
      <c r="V5" s="126"/>
    </row>
    <row r="6" spans="1:22" x14ac:dyDescent="0.3">
      <c r="A6" s="124"/>
      <c r="B6" s="125"/>
      <c r="C6" s="128" t="s">
        <v>769</v>
      </c>
      <c r="D6" s="259"/>
      <c r="E6" s="20"/>
      <c r="F6" s="20"/>
      <c r="G6" s="20"/>
      <c r="H6" s="124"/>
      <c r="I6" s="20"/>
      <c r="J6" s="257"/>
      <c r="K6" s="254" t="s">
        <v>725</v>
      </c>
      <c r="L6" s="254"/>
      <c r="M6" s="20"/>
      <c r="N6" s="126"/>
      <c r="O6" s="124"/>
      <c r="P6" s="20"/>
      <c r="Q6" s="20"/>
      <c r="R6" s="257"/>
      <c r="S6" s="255" t="s">
        <v>735</v>
      </c>
      <c r="T6" s="255"/>
      <c r="U6" s="20"/>
      <c r="V6" s="126"/>
    </row>
    <row r="7" spans="1:22" x14ac:dyDescent="0.3">
      <c r="A7" s="124"/>
      <c r="B7" s="127"/>
      <c r="C7" s="129" t="s">
        <v>714</v>
      </c>
      <c r="D7" s="259"/>
      <c r="E7" s="133"/>
      <c r="F7" s="20"/>
      <c r="G7" s="20"/>
      <c r="H7" s="124"/>
      <c r="I7" s="20"/>
      <c r="J7" s="257"/>
      <c r="K7" s="262" t="s">
        <v>724</v>
      </c>
      <c r="L7" s="262"/>
      <c r="M7" s="20"/>
      <c r="N7" s="126"/>
      <c r="O7" s="124"/>
      <c r="P7" s="254" t="s">
        <v>730</v>
      </c>
      <c r="Q7" s="254"/>
      <c r="R7" s="258"/>
      <c r="S7" s="20"/>
      <c r="T7" s="20"/>
      <c r="U7" s="20"/>
      <c r="V7" s="126"/>
    </row>
    <row r="8" spans="1:22" x14ac:dyDescent="0.3">
      <c r="A8" s="124"/>
      <c r="B8" s="20"/>
      <c r="C8" s="20"/>
      <c r="D8" s="259"/>
      <c r="E8" s="20"/>
      <c r="F8" s="20"/>
      <c r="G8" s="20"/>
      <c r="H8" s="270" t="s">
        <v>727</v>
      </c>
      <c r="I8" s="254"/>
      <c r="J8" s="258"/>
      <c r="K8" s="20"/>
      <c r="L8" s="20"/>
      <c r="M8" s="20"/>
      <c r="N8" s="126"/>
      <c r="O8" s="124"/>
      <c r="P8" s="255" t="s">
        <v>736</v>
      </c>
      <c r="Q8" s="255"/>
      <c r="R8" s="258"/>
      <c r="S8" s="20"/>
      <c r="T8" s="20"/>
      <c r="U8" s="20"/>
      <c r="V8" s="126"/>
    </row>
    <row r="9" spans="1:22" ht="14.4" hidden="1" customHeight="1" x14ac:dyDescent="0.3">
      <c r="A9" s="124"/>
      <c r="B9" s="20"/>
      <c r="C9" s="20"/>
      <c r="D9" s="259"/>
      <c r="E9" s="20"/>
      <c r="F9" s="20"/>
      <c r="G9" s="20"/>
      <c r="H9" s="124"/>
      <c r="I9" s="20"/>
      <c r="J9" s="259"/>
      <c r="K9" s="20"/>
      <c r="L9" s="20"/>
      <c r="M9" s="20"/>
      <c r="N9" s="126"/>
      <c r="O9" s="124"/>
      <c r="P9" s="20"/>
      <c r="Q9" s="20"/>
      <c r="R9" s="259"/>
      <c r="S9" s="20"/>
      <c r="T9" s="20"/>
      <c r="U9" s="20"/>
      <c r="V9" s="126"/>
    </row>
    <row r="10" spans="1:22" x14ac:dyDescent="0.3">
      <c r="A10" s="124"/>
      <c r="B10" s="20"/>
      <c r="C10" s="125"/>
      <c r="D10" s="259"/>
      <c r="E10" s="174" t="s">
        <v>715</v>
      </c>
      <c r="F10" s="20"/>
      <c r="G10" s="20"/>
      <c r="H10" s="271" t="s">
        <v>726</v>
      </c>
      <c r="I10" s="262"/>
      <c r="J10" s="258"/>
      <c r="K10" s="20"/>
      <c r="L10" s="20"/>
      <c r="M10" s="20"/>
      <c r="N10" s="126"/>
      <c r="O10" s="124"/>
      <c r="P10" s="20"/>
      <c r="Q10" s="20"/>
      <c r="R10" s="259"/>
      <c r="S10" s="20"/>
      <c r="T10" s="20"/>
      <c r="U10" s="20"/>
      <c r="V10" s="126"/>
    </row>
    <row r="11" spans="1:22" x14ac:dyDescent="0.3">
      <c r="A11" s="124"/>
      <c r="B11" s="20"/>
      <c r="C11" s="156"/>
      <c r="D11" s="259"/>
      <c r="E11" s="20"/>
      <c r="F11" s="20"/>
      <c r="G11" s="20"/>
      <c r="H11" s="124"/>
      <c r="I11" s="20"/>
      <c r="J11" s="259"/>
      <c r="K11" s="20"/>
      <c r="L11" s="20"/>
      <c r="M11" s="20"/>
      <c r="N11" s="126"/>
      <c r="O11" s="124"/>
      <c r="P11" s="20"/>
      <c r="Q11" s="20"/>
      <c r="R11" s="257"/>
      <c r="S11" s="254" t="s">
        <v>721</v>
      </c>
      <c r="T11" s="254"/>
      <c r="U11" s="20"/>
      <c r="V11" s="126"/>
    </row>
    <row r="12" spans="1:22" ht="14.4" hidden="1" customHeight="1" x14ac:dyDescent="0.3">
      <c r="A12" s="124"/>
      <c r="B12" s="20"/>
      <c r="C12" s="20"/>
      <c r="D12" s="259"/>
      <c r="E12" s="20"/>
      <c r="F12" s="20"/>
      <c r="G12" s="20"/>
      <c r="H12" s="124"/>
      <c r="I12" s="20"/>
      <c r="J12" s="259"/>
      <c r="K12" s="20"/>
      <c r="L12" s="20"/>
      <c r="M12" s="20"/>
      <c r="N12" s="126"/>
      <c r="O12" s="124"/>
      <c r="P12" s="20"/>
      <c r="Q12" s="20"/>
      <c r="R12" s="257"/>
      <c r="S12" s="144"/>
      <c r="T12" s="144"/>
      <c r="U12" s="20"/>
      <c r="V12" s="126"/>
    </row>
    <row r="13" spans="1:22" x14ac:dyDescent="0.3">
      <c r="A13" s="124"/>
      <c r="B13" s="20"/>
      <c r="C13" s="20"/>
      <c r="D13" s="259"/>
      <c r="E13" s="133"/>
      <c r="F13" s="20"/>
      <c r="G13" s="20"/>
      <c r="H13" s="124"/>
      <c r="I13" s="20"/>
      <c r="J13" s="257"/>
      <c r="K13" s="254" t="s">
        <v>771</v>
      </c>
      <c r="L13" s="254"/>
      <c r="M13" s="20"/>
      <c r="N13" s="126"/>
      <c r="O13" s="124"/>
      <c r="P13" s="20"/>
      <c r="Q13" s="20"/>
      <c r="R13" s="257"/>
      <c r="S13" s="262" t="s">
        <v>737</v>
      </c>
      <c r="T13" s="262"/>
      <c r="U13" s="20"/>
      <c r="V13" s="126"/>
    </row>
    <row r="14" spans="1:22" ht="13.5" customHeight="1" thickBot="1" x14ac:dyDescent="0.35">
      <c r="A14" s="124"/>
      <c r="B14" s="20"/>
      <c r="C14" s="20"/>
      <c r="D14" s="259"/>
      <c r="E14" s="156"/>
      <c r="F14" s="20"/>
      <c r="G14" s="20"/>
      <c r="H14" s="124"/>
      <c r="I14" s="20"/>
      <c r="J14" s="257"/>
      <c r="K14" s="255" t="s">
        <v>728</v>
      </c>
      <c r="L14" s="255"/>
      <c r="M14" s="20"/>
      <c r="N14" s="126"/>
      <c r="O14" s="124"/>
      <c r="P14" s="20"/>
      <c r="Q14" s="20"/>
      <c r="R14" s="259"/>
      <c r="S14" s="20"/>
      <c r="T14" s="20"/>
      <c r="U14" s="20"/>
      <c r="V14" s="126"/>
    </row>
    <row r="15" spans="1:22" ht="15" hidden="1" customHeight="1" thickBot="1" x14ac:dyDescent="0.35">
      <c r="A15" s="124"/>
      <c r="B15" s="20"/>
      <c r="C15" s="20"/>
      <c r="D15" s="259"/>
      <c r="E15" s="20"/>
      <c r="F15" s="20"/>
      <c r="G15" s="20"/>
      <c r="H15" s="124"/>
      <c r="I15" s="20"/>
      <c r="J15" s="259"/>
      <c r="K15" s="20"/>
      <c r="L15" s="20"/>
      <c r="M15" s="20"/>
      <c r="N15" s="126"/>
      <c r="O15" s="124"/>
      <c r="P15" s="20"/>
      <c r="Q15" s="20"/>
      <c r="R15" s="259"/>
      <c r="S15" s="20"/>
      <c r="T15" s="20"/>
      <c r="U15" s="20"/>
      <c r="V15" s="126"/>
    </row>
    <row r="16" spans="1:22" x14ac:dyDescent="0.3">
      <c r="A16" s="277"/>
      <c r="B16" s="130" t="s">
        <v>712</v>
      </c>
      <c r="C16" s="133"/>
      <c r="D16" s="259"/>
      <c r="E16" s="218" t="s">
        <v>768</v>
      </c>
      <c r="F16" s="20"/>
      <c r="G16" s="20"/>
      <c r="H16" s="124"/>
      <c r="I16" s="20"/>
      <c r="J16" s="259"/>
      <c r="K16" s="20"/>
      <c r="L16" s="20"/>
      <c r="M16" s="20"/>
      <c r="N16" s="126"/>
      <c r="O16" s="124"/>
      <c r="P16" s="20"/>
      <c r="Q16" s="20"/>
      <c r="R16" s="259"/>
      <c r="S16" s="20"/>
      <c r="T16" s="20"/>
      <c r="U16" s="20"/>
      <c r="V16" s="126"/>
    </row>
    <row r="17" spans="1:22" ht="13.5" customHeight="1" thickBot="1" x14ac:dyDescent="0.35">
      <c r="A17" s="278"/>
      <c r="B17" s="131" t="s">
        <v>421</v>
      </c>
      <c r="C17" s="132"/>
      <c r="D17" s="259"/>
      <c r="E17" s="174" t="s">
        <v>713</v>
      </c>
      <c r="F17" s="20"/>
      <c r="G17" s="20"/>
      <c r="H17" s="272" t="s">
        <v>767</v>
      </c>
      <c r="I17" s="273"/>
      <c r="J17" s="258"/>
      <c r="K17" s="20"/>
      <c r="L17" s="20"/>
      <c r="M17" s="20"/>
      <c r="N17" s="126"/>
      <c r="O17" s="124"/>
      <c r="P17" s="254" t="s">
        <v>727</v>
      </c>
      <c r="Q17" s="254"/>
      <c r="R17" s="258"/>
      <c r="S17" s="20"/>
      <c r="T17" s="20"/>
      <c r="U17" s="20"/>
      <c r="V17" s="126"/>
    </row>
    <row r="18" spans="1:22" ht="14.4" hidden="1" customHeight="1" thickBot="1" x14ac:dyDescent="0.35">
      <c r="A18" s="124"/>
      <c r="B18" s="20"/>
      <c r="C18" s="20"/>
      <c r="D18" s="259"/>
      <c r="E18" s="123" t="s">
        <v>422</v>
      </c>
      <c r="F18" s="20"/>
      <c r="G18" s="20"/>
      <c r="H18" s="144"/>
      <c r="I18" s="144"/>
      <c r="J18" s="258"/>
      <c r="K18" s="20"/>
      <c r="L18" s="20"/>
      <c r="M18" s="20"/>
      <c r="N18" s="126"/>
      <c r="O18" s="124"/>
      <c r="P18" s="144"/>
      <c r="Q18" s="144"/>
      <c r="R18" s="258"/>
      <c r="S18" s="20"/>
      <c r="T18" s="20"/>
      <c r="U18" s="20"/>
      <c r="V18" s="126"/>
    </row>
    <row r="19" spans="1:22" x14ac:dyDescent="0.3">
      <c r="A19" s="124"/>
      <c r="B19" s="20"/>
      <c r="C19" s="20"/>
      <c r="D19" s="259"/>
      <c r="E19" s="133"/>
      <c r="F19" s="20"/>
      <c r="G19" s="20"/>
      <c r="H19" s="274" t="s">
        <v>746</v>
      </c>
      <c r="I19" s="275"/>
      <c r="J19" s="258"/>
      <c r="K19" s="20"/>
      <c r="L19" s="20"/>
      <c r="M19" s="20"/>
      <c r="N19" s="126"/>
      <c r="O19" s="124"/>
      <c r="P19" s="262" t="s">
        <v>734</v>
      </c>
      <c r="Q19" s="262"/>
      <c r="R19" s="258"/>
      <c r="S19" s="20"/>
      <c r="T19" s="20"/>
      <c r="U19" s="20"/>
      <c r="V19" s="126"/>
    </row>
    <row r="20" spans="1:22" x14ac:dyDescent="0.3">
      <c r="A20" s="124"/>
      <c r="B20" s="20"/>
      <c r="C20" s="20"/>
      <c r="D20" s="259"/>
      <c r="E20" s="132"/>
      <c r="F20" s="20"/>
      <c r="G20" s="20"/>
      <c r="H20" s="124"/>
      <c r="I20" s="20"/>
      <c r="J20" s="259"/>
      <c r="K20" s="20"/>
      <c r="L20" s="20"/>
      <c r="M20" s="20"/>
      <c r="N20" s="126"/>
      <c r="O20" s="124"/>
      <c r="P20" s="20"/>
      <c r="Q20" s="20"/>
      <c r="R20" s="259"/>
      <c r="S20" s="20"/>
      <c r="T20" s="20"/>
      <c r="U20" s="20"/>
      <c r="V20" s="126"/>
    </row>
    <row r="21" spans="1:22" ht="14.4" hidden="1" customHeight="1" x14ac:dyDescent="0.3">
      <c r="A21" s="124"/>
      <c r="B21" s="20"/>
      <c r="C21" s="20"/>
      <c r="D21" s="259"/>
      <c r="E21" s="20"/>
      <c r="F21" s="20"/>
      <c r="G21" s="20"/>
      <c r="H21" s="124"/>
      <c r="I21" s="20"/>
      <c r="J21" s="259"/>
      <c r="K21" s="20"/>
      <c r="L21" s="20"/>
      <c r="M21" s="20"/>
      <c r="N21" s="126"/>
      <c r="O21" s="124"/>
      <c r="P21" s="20"/>
      <c r="Q21" s="20"/>
      <c r="R21" s="259"/>
      <c r="S21" s="20"/>
      <c r="T21" s="20"/>
      <c r="U21" s="20"/>
      <c r="V21" s="126"/>
    </row>
    <row r="22" spans="1:22" x14ac:dyDescent="0.3">
      <c r="A22" s="124"/>
      <c r="B22" s="20"/>
      <c r="C22" s="133"/>
      <c r="D22" s="259"/>
      <c r="E22" s="20"/>
      <c r="F22" s="20"/>
      <c r="G22" s="20"/>
      <c r="H22" s="124"/>
      <c r="I22" s="20"/>
      <c r="J22" s="259"/>
      <c r="K22" s="20"/>
      <c r="L22" s="20"/>
      <c r="M22" s="20"/>
      <c r="N22" s="126"/>
      <c r="O22" s="124"/>
      <c r="P22" s="20"/>
      <c r="Q22" s="20"/>
      <c r="R22" s="259"/>
      <c r="S22" s="20"/>
      <c r="T22" s="20"/>
      <c r="U22" s="20"/>
      <c r="V22" s="126"/>
    </row>
    <row r="23" spans="1:22" x14ac:dyDescent="0.3">
      <c r="A23" s="124"/>
      <c r="B23" s="20"/>
      <c r="C23" s="156"/>
      <c r="D23" s="259"/>
      <c r="E23" s="20"/>
      <c r="F23" s="20"/>
      <c r="G23" s="20"/>
      <c r="H23" s="124"/>
      <c r="I23" s="20"/>
      <c r="J23" s="259"/>
      <c r="K23" s="20"/>
      <c r="L23" s="20"/>
      <c r="M23" s="20"/>
      <c r="N23" s="126"/>
      <c r="O23" s="124"/>
      <c r="P23" s="20"/>
      <c r="Q23" s="20"/>
      <c r="R23" s="259"/>
      <c r="S23" s="20"/>
      <c r="T23" s="20"/>
      <c r="U23" s="20"/>
      <c r="V23" s="126"/>
    </row>
    <row r="24" spans="1:22" ht="15" thickBot="1" x14ac:dyDescent="0.35">
      <c r="A24" s="124"/>
      <c r="B24" s="20"/>
      <c r="C24" s="156"/>
      <c r="D24" s="259"/>
      <c r="E24" s="133"/>
      <c r="F24" s="20"/>
      <c r="G24" s="20"/>
      <c r="H24" s="270" t="s">
        <v>730</v>
      </c>
      <c r="I24" s="254"/>
      <c r="J24" s="258"/>
      <c r="K24" s="20"/>
      <c r="L24" s="20"/>
      <c r="M24" s="20"/>
      <c r="N24" s="126"/>
      <c r="O24" s="124"/>
      <c r="P24" s="20"/>
      <c r="Q24" s="20"/>
      <c r="R24" s="259"/>
      <c r="S24" s="20"/>
      <c r="T24" s="20"/>
      <c r="U24" s="20"/>
      <c r="V24" s="126"/>
    </row>
    <row r="25" spans="1:22" x14ac:dyDescent="0.3">
      <c r="A25" s="124"/>
      <c r="B25" s="20"/>
      <c r="C25" s="156"/>
      <c r="D25" s="259"/>
      <c r="E25" s="302" t="s">
        <v>722</v>
      </c>
      <c r="F25" s="20"/>
      <c r="G25" s="20"/>
      <c r="H25" s="271" t="s">
        <v>729</v>
      </c>
      <c r="I25" s="262"/>
      <c r="J25" s="258"/>
      <c r="K25" s="20"/>
      <c r="L25" s="20"/>
      <c r="M25" s="20"/>
      <c r="N25" s="126"/>
      <c r="O25" s="124"/>
      <c r="P25" s="254" t="s">
        <v>772</v>
      </c>
      <c r="Q25" s="254"/>
      <c r="R25" s="258"/>
      <c r="S25" s="20"/>
      <c r="T25" s="20"/>
      <c r="U25" s="20"/>
      <c r="V25" s="126"/>
    </row>
    <row r="26" spans="1:22" ht="18" customHeight="1" x14ac:dyDescent="0.3">
      <c r="A26" s="124"/>
      <c r="B26" s="20"/>
      <c r="C26" s="128">
        <v>0</v>
      </c>
      <c r="D26" s="259"/>
      <c r="E26" s="303"/>
      <c r="F26" s="20"/>
      <c r="G26" s="20"/>
      <c r="H26" s="124"/>
      <c r="I26" s="20"/>
      <c r="J26" s="259"/>
      <c r="K26" s="20"/>
      <c r="L26" s="20"/>
      <c r="M26" s="20"/>
      <c r="N26" s="126"/>
      <c r="O26" s="124"/>
      <c r="P26" s="255" t="s">
        <v>735</v>
      </c>
      <c r="Q26" s="255"/>
      <c r="R26" s="258"/>
      <c r="S26" s="20"/>
      <c r="T26" s="20"/>
      <c r="U26" s="20"/>
      <c r="V26" s="126"/>
    </row>
    <row r="27" spans="1:22" x14ac:dyDescent="0.3">
      <c r="A27" s="124"/>
      <c r="B27" s="20"/>
      <c r="C27" s="129" t="s">
        <v>717</v>
      </c>
      <c r="D27" s="259"/>
      <c r="E27" s="303"/>
      <c r="F27" s="130" t="s">
        <v>719</v>
      </c>
      <c r="G27" s="20"/>
      <c r="H27" s="124"/>
      <c r="I27" s="20"/>
      <c r="J27" s="257"/>
      <c r="K27" s="272" t="s">
        <v>718</v>
      </c>
      <c r="L27" s="273"/>
      <c r="M27" s="20"/>
      <c r="N27" s="126"/>
      <c r="O27" s="124"/>
      <c r="P27" s="20"/>
      <c r="Q27" s="20"/>
      <c r="R27" s="257"/>
      <c r="S27" s="254" t="s">
        <v>720</v>
      </c>
      <c r="T27" s="254"/>
      <c r="U27" s="20"/>
      <c r="V27" s="126"/>
    </row>
    <row r="28" spans="1:22" ht="14.4" customHeight="1" thickBot="1" x14ac:dyDescent="0.35">
      <c r="A28" s="124"/>
      <c r="B28" s="20"/>
      <c r="C28" s="20"/>
      <c r="D28" s="259"/>
      <c r="E28" s="304"/>
      <c r="F28" s="131" t="s">
        <v>420</v>
      </c>
      <c r="G28" s="20"/>
      <c r="H28" s="124"/>
      <c r="I28" s="20"/>
      <c r="J28" s="257"/>
      <c r="K28" s="255" t="s">
        <v>731</v>
      </c>
      <c r="L28" s="255"/>
      <c r="M28" s="20"/>
      <c r="N28" s="126"/>
      <c r="O28" s="124"/>
      <c r="P28" s="20"/>
      <c r="Q28" s="20"/>
      <c r="R28" s="257"/>
      <c r="S28" s="262" t="s">
        <v>736</v>
      </c>
      <c r="T28" s="262"/>
      <c r="U28" s="20"/>
      <c r="V28" s="126"/>
    </row>
    <row r="29" spans="1:22" x14ac:dyDescent="0.3">
      <c r="A29" s="124"/>
      <c r="B29" s="20"/>
      <c r="C29" s="20"/>
      <c r="D29" s="259"/>
      <c r="E29" s="132"/>
      <c r="F29" s="20"/>
      <c r="G29" s="20"/>
      <c r="H29" s="124"/>
      <c r="I29" s="20"/>
      <c r="J29" s="259"/>
      <c r="K29" s="20"/>
      <c r="L29" s="20"/>
      <c r="M29" s="20"/>
      <c r="N29" s="126"/>
      <c r="O29" s="124"/>
      <c r="P29" s="20"/>
      <c r="Q29" s="20"/>
      <c r="R29" s="259"/>
      <c r="S29" s="20"/>
      <c r="T29" s="20"/>
      <c r="U29" s="20"/>
      <c r="V29" s="126"/>
    </row>
    <row r="30" spans="1:22" x14ac:dyDescent="0.3">
      <c r="A30" s="124"/>
      <c r="B30" s="20"/>
      <c r="C30" s="133"/>
      <c r="D30" s="259"/>
      <c r="E30" s="132"/>
      <c r="F30" s="20"/>
      <c r="G30" s="20"/>
      <c r="H30" s="124"/>
      <c r="I30" s="20"/>
      <c r="J30" s="259"/>
      <c r="K30" s="20"/>
      <c r="L30" s="20"/>
      <c r="M30" s="20"/>
      <c r="N30" s="126"/>
      <c r="O30" s="124"/>
      <c r="P30" s="20"/>
      <c r="Q30" s="20"/>
      <c r="R30" s="259"/>
      <c r="S30" s="20"/>
      <c r="T30" s="20"/>
      <c r="U30" s="20"/>
      <c r="V30" s="126"/>
    </row>
    <row r="31" spans="1:22" x14ac:dyDescent="0.3">
      <c r="A31" s="124"/>
      <c r="B31" s="20"/>
      <c r="C31" s="132"/>
      <c r="D31" s="259"/>
      <c r="E31" s="122" t="s">
        <v>718</v>
      </c>
      <c r="F31" s="20"/>
      <c r="G31" s="157"/>
      <c r="H31" s="124"/>
      <c r="I31" s="20"/>
      <c r="J31" s="259"/>
      <c r="K31" s="20"/>
      <c r="L31" s="20"/>
      <c r="M31" s="20"/>
      <c r="N31" s="126"/>
      <c r="O31" s="124"/>
      <c r="P31" s="20"/>
      <c r="Q31" s="20"/>
      <c r="R31" s="259"/>
      <c r="S31" s="20"/>
      <c r="T31" s="20"/>
      <c r="U31" s="20"/>
      <c r="V31" s="126"/>
    </row>
    <row r="32" spans="1:22" ht="14.4" hidden="1" customHeight="1" x14ac:dyDescent="0.3">
      <c r="A32" s="124"/>
      <c r="B32" s="20"/>
      <c r="C32" s="20"/>
      <c r="D32" s="259"/>
      <c r="E32" s="123" t="s">
        <v>423</v>
      </c>
      <c r="F32" s="20"/>
      <c r="G32" s="157" t="s">
        <v>428</v>
      </c>
      <c r="H32" s="124"/>
      <c r="I32" s="20"/>
      <c r="J32" s="259"/>
      <c r="K32" s="20"/>
      <c r="L32" s="20"/>
      <c r="M32" s="20"/>
      <c r="N32" s="126"/>
      <c r="O32" s="124"/>
      <c r="P32" s="20"/>
      <c r="Q32" s="20"/>
      <c r="R32" s="259"/>
      <c r="S32" s="20"/>
      <c r="T32" s="20"/>
      <c r="U32" s="20"/>
      <c r="V32" s="126"/>
    </row>
    <row r="33" spans="1:22" x14ac:dyDescent="0.3">
      <c r="A33" s="124"/>
      <c r="B33" s="20"/>
      <c r="C33" s="20"/>
      <c r="D33" s="259"/>
      <c r="E33" s="174" t="s">
        <v>716</v>
      </c>
      <c r="F33" s="20"/>
      <c r="G33" s="20"/>
      <c r="H33" s="124"/>
      <c r="I33" s="20"/>
      <c r="J33" s="259"/>
      <c r="K33" s="20"/>
      <c r="L33" s="20"/>
      <c r="M33" s="20"/>
      <c r="N33" s="126"/>
      <c r="O33" s="124"/>
      <c r="P33" s="20"/>
      <c r="Q33" s="20"/>
      <c r="R33" s="259"/>
      <c r="S33" s="20"/>
      <c r="T33" s="20"/>
      <c r="U33" s="20"/>
      <c r="V33" s="126"/>
    </row>
    <row r="34" spans="1:22" x14ac:dyDescent="0.3">
      <c r="A34" s="124"/>
      <c r="B34" s="20"/>
      <c r="C34" s="20"/>
      <c r="D34" s="259"/>
      <c r="E34" s="132"/>
      <c r="F34" s="20"/>
      <c r="G34" s="20"/>
      <c r="H34" s="124"/>
      <c r="I34" s="20"/>
      <c r="J34" s="259"/>
      <c r="K34" s="20"/>
      <c r="L34" s="20"/>
      <c r="M34" s="20"/>
      <c r="N34" s="126"/>
      <c r="O34" s="124"/>
      <c r="P34" s="20"/>
      <c r="Q34" s="20"/>
      <c r="R34" s="259"/>
      <c r="S34" s="20"/>
      <c r="T34" s="20"/>
      <c r="U34" s="20"/>
      <c r="V34" s="126"/>
    </row>
    <row r="35" spans="1:22" ht="15" hidden="1" customHeight="1" x14ac:dyDescent="0.3">
      <c r="A35" s="124"/>
      <c r="B35" s="20"/>
      <c r="C35" s="20"/>
      <c r="D35" s="259"/>
      <c r="E35" s="20"/>
      <c r="F35" s="20"/>
      <c r="G35" s="20"/>
      <c r="H35" s="124"/>
      <c r="I35" s="20"/>
      <c r="J35" s="259"/>
      <c r="K35" s="20"/>
      <c r="L35" s="20"/>
      <c r="M35" s="20"/>
      <c r="N35" s="126"/>
      <c r="O35" s="124"/>
      <c r="P35" s="20"/>
      <c r="Q35" s="20"/>
      <c r="R35" s="259"/>
      <c r="S35" s="20"/>
      <c r="T35" s="20"/>
      <c r="U35" s="20"/>
      <c r="V35" s="126"/>
    </row>
    <row r="36" spans="1:22" x14ac:dyDescent="0.3">
      <c r="A36" s="124"/>
      <c r="B36" s="20"/>
      <c r="C36" s="20"/>
      <c r="D36" s="259"/>
      <c r="E36" s="20"/>
      <c r="F36" s="20"/>
      <c r="G36" s="20"/>
      <c r="H36" s="124"/>
      <c r="I36" s="20"/>
      <c r="J36" s="259"/>
      <c r="K36" s="20"/>
      <c r="L36" s="20"/>
      <c r="M36" s="20"/>
      <c r="N36" s="126"/>
      <c r="O36" s="124"/>
      <c r="P36" s="20"/>
      <c r="Q36" s="20"/>
      <c r="R36" s="259"/>
      <c r="S36" s="20"/>
      <c r="T36" s="20"/>
      <c r="U36" s="20"/>
      <c r="V36" s="126"/>
    </row>
    <row r="37" spans="1:22" x14ac:dyDescent="0.3">
      <c r="A37" s="124"/>
      <c r="B37" s="20"/>
      <c r="C37" s="20"/>
      <c r="D37" s="259"/>
      <c r="E37" s="20"/>
      <c r="F37" s="20"/>
      <c r="G37" s="20"/>
      <c r="H37" s="124"/>
      <c r="I37" s="20"/>
      <c r="J37" s="259"/>
      <c r="K37" s="20"/>
      <c r="L37" s="20"/>
      <c r="M37" s="20"/>
      <c r="N37" s="126"/>
      <c r="O37" s="124"/>
      <c r="P37" s="20"/>
      <c r="Q37" s="20"/>
      <c r="R37" s="259"/>
      <c r="S37" s="20"/>
      <c r="T37" s="20"/>
      <c r="U37" s="20"/>
      <c r="V37" s="126"/>
    </row>
    <row r="38" spans="1:22" ht="15" hidden="1" customHeight="1" thickBot="1" x14ac:dyDescent="0.35">
      <c r="A38" s="124"/>
      <c r="B38" s="20"/>
      <c r="C38" s="20"/>
      <c r="D38" s="259"/>
      <c r="E38" s="20"/>
      <c r="F38" s="20"/>
      <c r="G38" s="20"/>
      <c r="H38" s="124"/>
      <c r="I38" s="20"/>
      <c r="J38" s="259"/>
      <c r="K38" s="20"/>
      <c r="L38" s="20"/>
      <c r="M38" s="20"/>
      <c r="N38" s="126"/>
      <c r="O38" s="124"/>
      <c r="P38" s="20"/>
      <c r="Q38" s="20"/>
      <c r="R38" s="259"/>
      <c r="S38" s="20"/>
      <c r="T38" s="20"/>
      <c r="U38" s="20"/>
      <c r="V38" s="126"/>
    </row>
    <row r="39" spans="1:22" x14ac:dyDescent="0.3">
      <c r="A39" s="124"/>
      <c r="B39" s="20"/>
      <c r="C39" s="20"/>
      <c r="D39" s="259"/>
      <c r="E39" s="132"/>
      <c r="F39" s="20"/>
      <c r="G39" s="20"/>
      <c r="H39" s="124"/>
      <c r="I39" s="20"/>
      <c r="J39" s="259"/>
      <c r="K39" s="20"/>
      <c r="L39" s="20"/>
      <c r="M39" s="20"/>
      <c r="N39" s="126"/>
      <c r="O39" s="124"/>
      <c r="P39" s="20"/>
      <c r="Q39" s="20"/>
      <c r="R39" s="259"/>
      <c r="S39" s="20"/>
      <c r="T39" s="20"/>
      <c r="U39" s="20"/>
      <c r="V39" s="126"/>
    </row>
    <row r="40" spans="1:22" ht="15.75" customHeight="1" x14ac:dyDescent="0.3">
      <c r="A40" s="124"/>
      <c r="B40" s="20"/>
      <c r="C40" s="20"/>
      <c r="D40" s="259"/>
      <c r="E40" s="132"/>
      <c r="F40" s="20"/>
      <c r="G40" s="20"/>
      <c r="H40" s="124"/>
      <c r="I40" s="20"/>
      <c r="J40" s="259"/>
      <c r="K40" s="20"/>
      <c r="L40" s="20"/>
      <c r="M40" s="20"/>
      <c r="N40" s="126"/>
      <c r="O40" s="124"/>
      <c r="P40" s="20"/>
      <c r="Q40" s="20"/>
      <c r="R40" s="259"/>
      <c r="S40" s="20"/>
      <c r="T40" s="20"/>
      <c r="U40" s="20"/>
      <c r="V40" s="126"/>
    </row>
    <row r="41" spans="1:22" ht="16.2" hidden="1" customHeight="1" thickBot="1" x14ac:dyDescent="0.35">
      <c r="A41" s="124"/>
      <c r="B41" s="20"/>
      <c r="C41" s="20"/>
      <c r="D41" s="259"/>
      <c r="E41" s="20"/>
      <c r="F41" s="20"/>
      <c r="G41" s="20"/>
      <c r="H41" s="124"/>
      <c r="I41" s="20"/>
      <c r="J41" s="259"/>
      <c r="K41" s="20"/>
      <c r="L41" s="20"/>
      <c r="M41" s="20"/>
      <c r="N41" s="126"/>
      <c r="O41" s="124"/>
      <c r="P41" s="20"/>
      <c r="Q41" s="20"/>
      <c r="R41" s="259"/>
      <c r="S41" s="20"/>
      <c r="T41" s="20"/>
      <c r="U41" s="20"/>
      <c r="V41" s="126"/>
    </row>
    <row r="42" spans="1:22" x14ac:dyDescent="0.3">
      <c r="A42" s="124"/>
      <c r="B42" s="20"/>
      <c r="C42" s="122" t="s">
        <v>720</v>
      </c>
      <c r="D42" s="259"/>
      <c r="E42" s="122" t="s">
        <v>730</v>
      </c>
      <c r="F42" s="20"/>
      <c r="G42" s="20"/>
      <c r="H42" s="124"/>
      <c r="I42" s="20"/>
      <c r="J42" s="259"/>
      <c r="K42" s="20"/>
      <c r="L42" s="20"/>
      <c r="M42" s="20"/>
      <c r="N42" s="126"/>
      <c r="O42" s="124"/>
      <c r="P42" s="20"/>
      <c r="Q42" s="20"/>
      <c r="R42" s="257"/>
      <c r="S42" s="254" t="s">
        <v>773</v>
      </c>
      <c r="T42" s="254"/>
      <c r="U42" s="20"/>
      <c r="V42" s="126"/>
    </row>
    <row r="43" spans="1:22" ht="14.25" customHeight="1" thickBot="1" x14ac:dyDescent="0.35">
      <c r="A43" s="124"/>
      <c r="B43" s="20"/>
      <c r="C43" s="123" t="s">
        <v>425</v>
      </c>
      <c r="D43" s="269"/>
      <c r="E43" s="123" t="s">
        <v>424</v>
      </c>
      <c r="F43" s="20"/>
      <c r="G43" s="20"/>
      <c r="H43" s="124"/>
      <c r="I43" s="20"/>
      <c r="J43" s="269"/>
      <c r="K43" s="20"/>
      <c r="L43" s="20"/>
      <c r="M43" s="20"/>
      <c r="N43" s="126"/>
      <c r="O43" s="124"/>
      <c r="P43" s="20"/>
      <c r="Q43" s="20"/>
      <c r="R43" s="260"/>
      <c r="S43" s="255" t="s">
        <v>737</v>
      </c>
      <c r="T43" s="255"/>
      <c r="U43" s="20"/>
      <c r="V43" s="126"/>
    </row>
    <row r="44" spans="1:22" ht="0.75" customHeight="1" thickBot="1" x14ac:dyDescent="0.35">
      <c r="A44" s="124"/>
      <c r="B44" s="20"/>
      <c r="C44" s="132"/>
      <c r="D44" s="176"/>
      <c r="E44" s="175" t="s">
        <v>460</v>
      </c>
      <c r="F44" s="20"/>
      <c r="G44" s="20"/>
      <c r="H44" s="124"/>
      <c r="I44" s="20"/>
      <c r="J44" s="20"/>
      <c r="K44" s="20"/>
      <c r="L44" s="20"/>
      <c r="M44" s="20"/>
      <c r="N44" s="126"/>
      <c r="O44" s="124"/>
      <c r="P44" s="20"/>
      <c r="Q44" s="20"/>
      <c r="R44" s="20"/>
      <c r="S44" s="20"/>
      <c r="T44" s="20"/>
      <c r="U44" s="20"/>
      <c r="V44" s="126"/>
    </row>
    <row r="45" spans="1:22" ht="16.5" customHeight="1" x14ac:dyDescent="0.3">
      <c r="A45" s="277"/>
      <c r="B45" s="122" t="s">
        <v>721</v>
      </c>
      <c r="C45" s="20"/>
      <c r="D45" s="298"/>
      <c r="E45" s="299"/>
      <c r="F45" s="20"/>
      <c r="G45" s="20"/>
      <c r="H45" s="124"/>
      <c r="I45" s="20"/>
      <c r="J45" s="20"/>
      <c r="K45" s="20"/>
      <c r="L45" s="20"/>
      <c r="M45" s="20"/>
      <c r="N45" s="126"/>
      <c r="O45" s="124"/>
      <c r="P45" s="20"/>
      <c r="Q45" s="20"/>
      <c r="R45" s="20"/>
      <c r="S45" s="20"/>
      <c r="T45" s="20"/>
      <c r="U45" s="20"/>
      <c r="V45" s="126"/>
    </row>
    <row r="46" spans="1:22" ht="18" customHeight="1" thickBot="1" x14ac:dyDescent="0.35">
      <c r="A46" s="278"/>
      <c r="B46" s="172" t="s">
        <v>426</v>
      </c>
      <c r="C46" s="20"/>
      <c r="D46" s="300"/>
      <c r="E46" s="301"/>
      <c r="F46" s="20"/>
      <c r="G46" s="20"/>
      <c r="H46" s="124"/>
      <c r="I46" s="20"/>
      <c r="J46" s="20"/>
      <c r="K46" s="20"/>
      <c r="L46" s="20"/>
      <c r="M46" s="20"/>
      <c r="N46" s="126"/>
      <c r="O46" s="124"/>
      <c r="P46" s="20"/>
      <c r="Q46" s="20"/>
      <c r="R46" s="20"/>
      <c r="S46" s="20"/>
      <c r="T46" s="20"/>
      <c r="U46" s="20"/>
      <c r="V46" s="126"/>
    </row>
    <row r="47" spans="1:22" ht="15" thickBot="1" x14ac:dyDescent="0.35">
      <c r="A47" s="124"/>
      <c r="B47" s="20"/>
      <c r="C47" s="20"/>
      <c r="D47" s="20"/>
      <c r="E47" s="173" t="s">
        <v>767</v>
      </c>
      <c r="F47" s="20"/>
      <c r="G47" s="20"/>
      <c r="H47" s="124"/>
      <c r="I47" s="20"/>
      <c r="J47" s="20"/>
      <c r="K47" s="20"/>
      <c r="L47" s="20"/>
      <c r="M47" s="20"/>
      <c r="N47" s="126"/>
      <c r="O47" s="124"/>
      <c r="P47" s="20"/>
      <c r="Q47" s="20"/>
      <c r="R47" s="20"/>
      <c r="S47" s="20"/>
      <c r="T47" s="20"/>
      <c r="U47" s="20"/>
      <c r="V47" s="126"/>
    </row>
    <row r="48" spans="1:22" ht="15" thickBot="1" x14ac:dyDescent="0.35">
      <c r="A48" s="182"/>
      <c r="B48" s="178"/>
      <c r="C48" s="178"/>
      <c r="D48" s="177"/>
      <c r="E48" s="172" t="s">
        <v>427</v>
      </c>
      <c r="F48" s="20"/>
      <c r="G48" s="85"/>
      <c r="H48" s="87"/>
      <c r="I48" s="85"/>
      <c r="J48" s="85"/>
      <c r="K48" s="85"/>
      <c r="L48" s="85"/>
      <c r="M48" s="85"/>
      <c r="N48" s="74"/>
      <c r="O48" s="87"/>
      <c r="P48" s="85"/>
      <c r="Q48" s="85"/>
      <c r="R48" s="85"/>
      <c r="S48" s="85"/>
      <c r="T48" s="85"/>
      <c r="U48" s="85"/>
      <c r="V48" s="74"/>
    </row>
    <row r="49" spans="1:22" ht="25.8" x14ac:dyDescent="0.3">
      <c r="A49" s="285" t="s">
        <v>739</v>
      </c>
      <c r="B49" s="286"/>
      <c r="C49" s="286"/>
      <c r="D49" s="286"/>
      <c r="E49" s="286"/>
      <c r="F49" s="287"/>
      <c r="G49" s="183"/>
      <c r="H49" s="285" t="s">
        <v>740</v>
      </c>
      <c r="I49" s="286"/>
      <c r="J49" s="286"/>
      <c r="K49" s="286"/>
      <c r="L49" s="286"/>
      <c r="M49" s="286"/>
      <c r="N49" s="184"/>
      <c r="O49" s="285" t="s">
        <v>741</v>
      </c>
      <c r="P49" s="286"/>
      <c r="Q49" s="286"/>
      <c r="R49" s="286"/>
      <c r="S49" s="286"/>
      <c r="T49" s="286"/>
      <c r="U49" s="286"/>
      <c r="V49" s="287"/>
    </row>
    <row r="50" spans="1:22" ht="25.8" x14ac:dyDescent="0.3">
      <c r="A50" s="288"/>
      <c r="B50" s="289"/>
      <c r="C50" s="289"/>
      <c r="D50" s="289"/>
      <c r="E50" s="289"/>
      <c r="F50" s="290"/>
      <c r="G50" s="185"/>
      <c r="H50" s="288"/>
      <c r="I50" s="289"/>
      <c r="J50" s="289"/>
      <c r="K50" s="289"/>
      <c r="L50" s="289"/>
      <c r="M50" s="289"/>
      <c r="N50" s="186"/>
      <c r="O50" s="288"/>
      <c r="P50" s="289"/>
      <c r="Q50" s="289"/>
      <c r="R50" s="289"/>
      <c r="S50" s="289"/>
      <c r="T50" s="289"/>
      <c r="U50" s="289"/>
      <c r="V50" s="290"/>
    </row>
    <row r="51" spans="1:22" ht="26.4" thickBot="1" x14ac:dyDescent="0.35">
      <c r="A51" s="291"/>
      <c r="B51" s="292"/>
      <c r="C51" s="292"/>
      <c r="D51" s="292"/>
      <c r="E51" s="292"/>
      <c r="F51" s="293"/>
      <c r="G51" s="185"/>
      <c r="H51" s="291"/>
      <c r="I51" s="292"/>
      <c r="J51" s="292"/>
      <c r="K51" s="292"/>
      <c r="L51" s="292"/>
      <c r="M51" s="292"/>
      <c r="N51" s="187"/>
      <c r="O51" s="291"/>
      <c r="P51" s="292"/>
      <c r="Q51" s="292"/>
      <c r="R51" s="292"/>
      <c r="S51" s="292"/>
      <c r="T51" s="292"/>
      <c r="U51" s="292"/>
      <c r="V51" s="293"/>
    </row>
    <row r="52" spans="1:22" ht="15" thickBot="1" x14ac:dyDescent="0.35">
      <c r="A52" s="124"/>
      <c r="B52" s="20"/>
      <c r="C52" s="188" t="s">
        <v>775</v>
      </c>
      <c r="D52" s="279"/>
      <c r="E52" s="20"/>
      <c r="F52" s="20"/>
      <c r="G52" s="126"/>
      <c r="H52" s="305" t="s">
        <v>718</v>
      </c>
      <c r="I52" s="306"/>
      <c r="J52" s="279"/>
      <c r="K52" s="20"/>
      <c r="L52" s="20"/>
      <c r="M52" s="20"/>
      <c r="N52" s="126"/>
      <c r="O52" s="124"/>
      <c r="P52" s="305" t="s">
        <v>774</v>
      </c>
      <c r="Q52" s="306"/>
      <c r="R52" s="279"/>
      <c r="S52" s="20"/>
      <c r="T52" s="20"/>
      <c r="U52" s="20"/>
      <c r="V52" s="126"/>
    </row>
    <row r="53" spans="1:22" ht="15" thickBot="1" x14ac:dyDescent="0.35">
      <c r="A53" s="124"/>
      <c r="B53" s="20"/>
      <c r="C53" s="189" t="s">
        <v>742</v>
      </c>
      <c r="D53" s="278"/>
      <c r="E53" s="20"/>
      <c r="F53" s="20"/>
      <c r="G53" s="126"/>
      <c r="H53" s="307" t="s">
        <v>743</v>
      </c>
      <c r="I53" s="308"/>
      <c r="J53" s="278"/>
      <c r="K53" s="20"/>
      <c r="L53" s="20"/>
      <c r="M53" s="20"/>
      <c r="N53" s="126"/>
      <c r="O53" s="124"/>
      <c r="P53" s="307" t="s">
        <v>744</v>
      </c>
      <c r="Q53" s="308"/>
      <c r="R53" s="278"/>
      <c r="S53" s="20"/>
      <c r="T53" s="20"/>
      <c r="U53" s="20"/>
      <c r="V53" s="126"/>
    </row>
    <row r="54" spans="1:22" ht="15" thickBot="1" x14ac:dyDescent="0.35">
      <c r="A54" s="124"/>
      <c r="B54" s="20"/>
      <c r="C54" s="20"/>
      <c r="D54" s="256" t="s">
        <v>419</v>
      </c>
      <c r="E54" s="20"/>
      <c r="F54" s="20"/>
      <c r="G54" s="126"/>
      <c r="H54" s="124"/>
      <c r="I54" s="20"/>
      <c r="J54" s="256" t="s">
        <v>419</v>
      </c>
      <c r="K54" s="305" t="s">
        <v>767</v>
      </c>
      <c r="L54" s="306"/>
      <c r="M54" s="20"/>
      <c r="N54" s="126"/>
      <c r="O54" s="124"/>
      <c r="P54" s="20"/>
      <c r="Q54" s="20"/>
      <c r="R54" s="256" t="s">
        <v>419</v>
      </c>
      <c r="S54" s="305" t="s">
        <v>767</v>
      </c>
      <c r="T54" s="306"/>
      <c r="U54" s="20"/>
      <c r="V54" s="126"/>
    </row>
    <row r="55" spans="1:22" ht="14.25" customHeight="1" thickBot="1" x14ac:dyDescent="0.35">
      <c r="A55" s="124"/>
      <c r="B55" s="276"/>
      <c r="C55" s="20"/>
      <c r="D55" s="257"/>
      <c r="E55" s="220"/>
      <c r="F55" s="20"/>
      <c r="G55" s="126"/>
      <c r="H55" s="124"/>
      <c r="I55" s="20"/>
      <c r="J55" s="259"/>
      <c r="K55" s="307" t="s">
        <v>745</v>
      </c>
      <c r="L55" s="308"/>
      <c r="M55" s="20"/>
      <c r="N55" s="126"/>
      <c r="O55" s="124"/>
      <c r="P55" s="20"/>
      <c r="Q55" s="20"/>
      <c r="R55" s="259"/>
      <c r="S55" s="307" t="s">
        <v>735</v>
      </c>
      <c r="T55" s="308"/>
      <c r="U55" s="20"/>
      <c r="V55" s="126"/>
    </row>
    <row r="56" spans="1:22" ht="14.4" hidden="1" customHeight="1" x14ac:dyDescent="0.3">
      <c r="A56" s="124"/>
      <c r="B56" s="276"/>
      <c r="C56" s="20"/>
      <c r="D56" s="257"/>
      <c r="E56" s="20"/>
      <c r="F56" s="20"/>
      <c r="G56" s="126"/>
      <c r="H56" s="124"/>
      <c r="I56" s="20"/>
      <c r="J56" s="259"/>
      <c r="K56" s="20"/>
      <c r="L56" s="20"/>
      <c r="M56" s="20"/>
      <c r="N56" s="126"/>
      <c r="O56" s="124"/>
      <c r="P56" s="20"/>
      <c r="Q56" s="20"/>
      <c r="R56" s="259"/>
      <c r="S56" s="20"/>
      <c r="T56" s="20"/>
      <c r="U56" s="20"/>
      <c r="V56" s="126"/>
    </row>
    <row r="57" spans="1:22" ht="15" thickBot="1" x14ac:dyDescent="0.35">
      <c r="A57" s="124"/>
      <c r="B57" s="20"/>
      <c r="C57" s="20"/>
      <c r="D57" s="257"/>
      <c r="E57" s="219"/>
      <c r="F57" s="20"/>
      <c r="G57" s="126"/>
      <c r="H57" s="124"/>
      <c r="I57" s="20"/>
      <c r="J57" s="259"/>
      <c r="K57" s="20"/>
      <c r="L57" s="20"/>
      <c r="M57" s="20"/>
      <c r="N57" s="126"/>
      <c r="O57" s="124"/>
      <c r="P57" s="305" t="s">
        <v>727</v>
      </c>
      <c r="Q57" s="306"/>
      <c r="R57" s="259"/>
      <c r="S57" s="20"/>
      <c r="T57" s="20"/>
      <c r="U57" s="20"/>
      <c r="V57" s="126"/>
    </row>
    <row r="58" spans="1:22" ht="15" thickBot="1" x14ac:dyDescent="0.35">
      <c r="A58" s="124"/>
      <c r="B58" s="20"/>
      <c r="C58" s="190" t="s">
        <v>727</v>
      </c>
      <c r="D58" s="259"/>
      <c r="E58" s="20"/>
      <c r="F58" s="20"/>
      <c r="G58" s="126"/>
      <c r="H58" s="305" t="s">
        <v>727</v>
      </c>
      <c r="I58" s="306"/>
      <c r="J58" s="259"/>
      <c r="K58" s="20"/>
      <c r="L58" s="20"/>
      <c r="M58" s="20"/>
      <c r="N58" s="126"/>
      <c r="O58" s="124"/>
      <c r="P58" s="307" t="s">
        <v>747</v>
      </c>
      <c r="Q58" s="308"/>
      <c r="R58" s="259"/>
      <c r="S58" s="20"/>
      <c r="T58" s="20"/>
      <c r="U58" s="20"/>
      <c r="V58" s="126"/>
    </row>
    <row r="59" spans="1:22" ht="15" thickBot="1" x14ac:dyDescent="0.35">
      <c r="A59" s="124"/>
      <c r="B59" s="20"/>
      <c r="C59" s="189" t="s">
        <v>737</v>
      </c>
      <c r="D59" s="259"/>
      <c r="E59" s="20"/>
      <c r="F59" s="20"/>
      <c r="G59" s="126"/>
      <c r="H59" s="307" t="s">
        <v>748</v>
      </c>
      <c r="I59" s="308"/>
      <c r="J59" s="259"/>
      <c r="K59" s="20"/>
      <c r="L59" s="20"/>
      <c r="M59" s="20"/>
      <c r="N59" s="126"/>
      <c r="O59" s="124"/>
      <c r="P59" s="20"/>
      <c r="Q59" s="20"/>
      <c r="R59" s="259"/>
      <c r="S59" s="305" t="s">
        <v>733</v>
      </c>
      <c r="T59" s="306"/>
      <c r="U59" s="20"/>
      <c r="V59" s="126"/>
    </row>
    <row r="60" spans="1:22" ht="15" thickBot="1" x14ac:dyDescent="0.35">
      <c r="A60" s="124"/>
      <c r="B60" s="20"/>
      <c r="C60" s="133"/>
      <c r="D60" s="259"/>
      <c r="E60" s="190" t="s">
        <v>776</v>
      </c>
      <c r="F60" s="20"/>
      <c r="G60" s="126"/>
      <c r="H60" s="124"/>
      <c r="I60" s="20"/>
      <c r="J60" s="259"/>
      <c r="K60" s="305" t="s">
        <v>749</v>
      </c>
      <c r="L60" s="306"/>
      <c r="M60" s="20"/>
      <c r="N60" s="126"/>
      <c r="O60" s="124"/>
      <c r="P60" s="20"/>
      <c r="Q60" s="20"/>
      <c r="R60" s="259"/>
      <c r="S60" s="307" t="s">
        <v>750</v>
      </c>
      <c r="T60" s="312"/>
      <c r="U60" s="309" t="s">
        <v>751</v>
      </c>
      <c r="V60" s="126"/>
    </row>
    <row r="61" spans="1:22" ht="15" thickBot="1" x14ac:dyDescent="0.35">
      <c r="A61" s="124"/>
      <c r="B61" s="20"/>
      <c r="C61" s="132"/>
      <c r="D61" s="259"/>
      <c r="E61" s="189" t="s">
        <v>737</v>
      </c>
      <c r="F61" s="20"/>
      <c r="G61" s="126"/>
      <c r="H61" s="124"/>
      <c r="I61" s="20"/>
      <c r="J61" s="259"/>
      <c r="K61" s="307" t="s">
        <v>752</v>
      </c>
      <c r="L61" s="308"/>
      <c r="M61" s="20"/>
      <c r="N61" s="126"/>
      <c r="O61" s="124"/>
      <c r="P61" s="20"/>
      <c r="Q61" s="20"/>
      <c r="R61" s="259"/>
      <c r="S61" s="20"/>
      <c r="T61" s="20"/>
      <c r="U61" s="310"/>
      <c r="V61" s="126"/>
    </row>
    <row r="62" spans="1:22" ht="15" thickBot="1" x14ac:dyDescent="0.35">
      <c r="A62" s="124"/>
      <c r="B62" s="20"/>
      <c r="C62" s="20"/>
      <c r="D62" s="259"/>
      <c r="E62" s="20"/>
      <c r="F62" s="20"/>
      <c r="G62" s="126"/>
      <c r="H62" s="124"/>
      <c r="I62" s="20"/>
      <c r="J62" s="259"/>
      <c r="K62" s="20"/>
      <c r="L62" s="20"/>
      <c r="M62" s="20"/>
      <c r="N62" s="126"/>
      <c r="O62" s="124"/>
      <c r="P62" s="20"/>
      <c r="Q62" s="20"/>
      <c r="R62" s="259"/>
      <c r="S62" s="20"/>
      <c r="T62" s="20"/>
      <c r="U62" s="311"/>
      <c r="V62" s="126"/>
    </row>
    <row r="63" spans="1:22" ht="15" thickBot="1" x14ac:dyDescent="0.35">
      <c r="A63" s="124"/>
      <c r="B63" s="20"/>
      <c r="C63" s="190" t="s">
        <v>769</v>
      </c>
      <c r="D63" s="259"/>
      <c r="E63" s="190" t="s">
        <v>733</v>
      </c>
      <c r="F63" s="20"/>
      <c r="G63" s="126"/>
      <c r="H63" s="124"/>
      <c r="I63" s="20"/>
      <c r="J63" s="259"/>
      <c r="K63" s="20"/>
      <c r="L63" s="20"/>
      <c r="M63" s="309" t="s">
        <v>751</v>
      </c>
      <c r="N63" s="126"/>
      <c r="O63" s="124"/>
      <c r="P63" s="20"/>
      <c r="Q63" s="20"/>
      <c r="R63" s="259"/>
      <c r="S63" s="20"/>
      <c r="T63" s="20"/>
      <c r="U63" s="20"/>
      <c r="V63" s="126"/>
    </row>
    <row r="64" spans="1:22" ht="15" thickBot="1" x14ac:dyDescent="0.35">
      <c r="A64" s="124"/>
      <c r="B64" s="20"/>
      <c r="C64" s="189" t="s">
        <v>750</v>
      </c>
      <c r="D64" s="259"/>
      <c r="E64" s="191" t="s">
        <v>750</v>
      </c>
      <c r="F64" s="309" t="s">
        <v>753</v>
      </c>
      <c r="G64" s="126"/>
      <c r="H64" s="124"/>
      <c r="I64" s="20"/>
      <c r="J64" s="259"/>
      <c r="K64" s="20"/>
      <c r="L64" s="20"/>
      <c r="M64" s="310"/>
      <c r="N64" s="126"/>
      <c r="O64" s="124"/>
      <c r="P64" s="20"/>
      <c r="Q64" s="20"/>
      <c r="R64" s="259"/>
      <c r="S64" s="20"/>
      <c r="T64" s="20"/>
      <c r="U64" s="20"/>
      <c r="V64" s="126"/>
    </row>
    <row r="65" spans="1:22" ht="15" thickBot="1" x14ac:dyDescent="0.35">
      <c r="A65" s="124"/>
      <c r="B65" s="20"/>
      <c r="C65" s="20"/>
      <c r="D65" s="259"/>
      <c r="E65" s="20"/>
      <c r="F65" s="310"/>
      <c r="G65" s="126"/>
      <c r="H65" s="124"/>
      <c r="I65" s="20"/>
      <c r="J65" s="259"/>
      <c r="K65" s="20"/>
      <c r="L65" s="20"/>
      <c r="M65" s="311"/>
      <c r="N65" s="126"/>
      <c r="O65" s="124"/>
      <c r="P65" s="20"/>
      <c r="Q65" s="20"/>
      <c r="R65" s="259"/>
      <c r="S65" s="20"/>
      <c r="T65" s="20"/>
      <c r="U65" s="20"/>
      <c r="V65" s="126"/>
    </row>
    <row r="66" spans="1:22" ht="15" thickBot="1" x14ac:dyDescent="0.35">
      <c r="A66" s="124"/>
      <c r="B66" s="20"/>
      <c r="C66" s="20"/>
      <c r="D66" s="259"/>
      <c r="E66" s="20"/>
      <c r="F66" s="311"/>
      <c r="G66" s="126"/>
      <c r="H66" s="124"/>
      <c r="I66" s="20"/>
      <c r="J66" s="259"/>
      <c r="K66" s="20"/>
      <c r="L66" s="20"/>
      <c r="M66" s="20"/>
      <c r="N66" s="126"/>
      <c r="O66" s="124"/>
      <c r="P66" s="20"/>
      <c r="Q66" s="20"/>
      <c r="R66" s="259"/>
      <c r="S66" s="20"/>
      <c r="T66" s="20"/>
      <c r="U66" s="20"/>
      <c r="V66" s="126"/>
    </row>
    <row r="67" spans="1:22" x14ac:dyDescent="0.3">
      <c r="A67" s="124"/>
      <c r="B67" s="20"/>
      <c r="C67" s="20"/>
      <c r="D67" s="259"/>
      <c r="E67" s="20"/>
      <c r="F67" s="20"/>
      <c r="G67" s="126"/>
      <c r="H67" s="124"/>
      <c r="I67" s="20"/>
      <c r="J67" s="259"/>
      <c r="K67" s="20"/>
      <c r="L67" s="20"/>
      <c r="M67" s="20"/>
      <c r="N67" s="126"/>
      <c r="O67" s="124"/>
      <c r="P67" s="20"/>
      <c r="Q67" s="20"/>
      <c r="R67" s="259"/>
      <c r="S67" s="20"/>
      <c r="T67" s="20"/>
      <c r="U67" s="20"/>
      <c r="V67" s="126"/>
    </row>
    <row r="68" spans="1:22" x14ac:dyDescent="0.3">
      <c r="A68" s="124"/>
      <c r="B68" s="20"/>
      <c r="C68" s="20"/>
      <c r="D68" s="259"/>
      <c r="E68" s="20"/>
      <c r="F68" s="20"/>
      <c r="G68" s="126"/>
      <c r="H68" s="124"/>
      <c r="I68" s="20"/>
      <c r="J68" s="259"/>
      <c r="K68" s="20"/>
      <c r="L68" s="20"/>
      <c r="M68" s="20"/>
      <c r="N68" s="126"/>
      <c r="O68" s="124"/>
      <c r="P68" s="20"/>
      <c r="Q68" s="20"/>
      <c r="R68" s="259"/>
      <c r="S68" s="20"/>
      <c r="T68" s="20"/>
      <c r="U68" s="20"/>
      <c r="V68" s="126"/>
    </row>
    <row r="69" spans="1:22" ht="15" thickBot="1" x14ac:dyDescent="0.35">
      <c r="A69" s="87"/>
      <c r="B69" s="85"/>
      <c r="C69" s="85"/>
      <c r="D69" s="269"/>
      <c r="E69" s="85"/>
      <c r="F69" s="85"/>
      <c r="G69" s="74"/>
      <c r="H69" s="87"/>
      <c r="I69" s="85"/>
      <c r="J69" s="269"/>
      <c r="K69" s="85"/>
      <c r="L69" s="85"/>
      <c r="M69" s="85"/>
      <c r="N69" s="74"/>
      <c r="O69" s="87"/>
      <c r="P69" s="85"/>
      <c r="Q69" s="85"/>
      <c r="R69" s="269"/>
      <c r="S69" s="85"/>
      <c r="T69" s="85"/>
      <c r="U69" s="85"/>
      <c r="V69" s="74"/>
    </row>
  </sheetData>
  <mergeCells count="74">
    <mergeCell ref="U60:U62"/>
    <mergeCell ref="K61:L61"/>
    <mergeCell ref="M63:M65"/>
    <mergeCell ref="F64:F66"/>
    <mergeCell ref="H58:I58"/>
    <mergeCell ref="P58:Q58"/>
    <mergeCell ref="H59:I59"/>
    <mergeCell ref="S59:T59"/>
    <mergeCell ref="K60:L60"/>
    <mergeCell ref="S60:T60"/>
    <mergeCell ref="J54:J69"/>
    <mergeCell ref="K54:L54"/>
    <mergeCell ref="R54:R69"/>
    <mergeCell ref="S54:T54"/>
    <mergeCell ref="K55:L55"/>
    <mergeCell ref="S55:T55"/>
    <mergeCell ref="P57:Q57"/>
    <mergeCell ref="H52:I52"/>
    <mergeCell ref="J52:J53"/>
    <mergeCell ref="P52:Q52"/>
    <mergeCell ref="R52:R53"/>
    <mergeCell ref="H53:I53"/>
    <mergeCell ref="P53:Q53"/>
    <mergeCell ref="O1:U1"/>
    <mergeCell ref="A49:F51"/>
    <mergeCell ref="H49:M51"/>
    <mergeCell ref="O49:V51"/>
    <mergeCell ref="F1:G1"/>
    <mergeCell ref="A4:A5"/>
    <mergeCell ref="K27:L27"/>
    <mergeCell ref="P26:Q26"/>
    <mergeCell ref="S27:T27"/>
    <mergeCell ref="A1:E1"/>
    <mergeCell ref="C2:D2"/>
    <mergeCell ref="C3:D3"/>
    <mergeCell ref="A16:A17"/>
    <mergeCell ref="D45:E46"/>
    <mergeCell ref="D4:D43"/>
    <mergeCell ref="E25:E28"/>
    <mergeCell ref="B55:B56"/>
    <mergeCell ref="A45:A46"/>
    <mergeCell ref="D52:D53"/>
    <mergeCell ref="D54:D69"/>
    <mergeCell ref="H1:L1"/>
    <mergeCell ref="M1:N1"/>
    <mergeCell ref="H2:J2"/>
    <mergeCell ref="H3:J3"/>
    <mergeCell ref="J4:J43"/>
    <mergeCell ref="K6:L6"/>
    <mergeCell ref="K7:L7"/>
    <mergeCell ref="H8:I8"/>
    <mergeCell ref="H10:I10"/>
    <mergeCell ref="K13:L13"/>
    <mergeCell ref="K14:L14"/>
    <mergeCell ref="H24:I24"/>
    <mergeCell ref="H25:I25"/>
    <mergeCell ref="H17:I17"/>
    <mergeCell ref="H19:I19"/>
    <mergeCell ref="S42:T42"/>
    <mergeCell ref="S43:T43"/>
    <mergeCell ref="K28:L28"/>
    <mergeCell ref="R4:R43"/>
    <mergeCell ref="P2:Q2"/>
    <mergeCell ref="P3:Q3"/>
    <mergeCell ref="S5:T5"/>
    <mergeCell ref="S6:T6"/>
    <mergeCell ref="P7:Q7"/>
    <mergeCell ref="P8:Q8"/>
    <mergeCell ref="S11:T11"/>
    <mergeCell ref="S13:T13"/>
    <mergeCell ref="P17:Q17"/>
    <mergeCell ref="P19:Q19"/>
    <mergeCell ref="P25:Q25"/>
    <mergeCell ref="S28:T28"/>
  </mergeCells>
  <pageMargins left="0.25" right="0.25" top="0.75" bottom="0.75" header="0.3" footer="0.3"/>
  <pageSetup paperSize="9" scale="5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Ventiladores</vt:lpstr>
      <vt:lpstr>Semi Acabados</vt:lpstr>
      <vt:lpstr>Peças Plásticas</vt:lpstr>
      <vt:lpstr>Planejamento</vt:lpstr>
      <vt:lpstr>Postos de trabalho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Jefferson</dc:creator>
  <cp:keywords/>
  <dc:description/>
  <cp:lastModifiedBy>Produção</cp:lastModifiedBy>
  <cp:revision>0</cp:revision>
  <cp:lastPrinted>2025-10-27T17:24:30Z</cp:lastPrinted>
  <dcterms:created xsi:type="dcterms:W3CDTF">2017-02-15T09:07:41Z</dcterms:created>
  <dcterms:modified xsi:type="dcterms:W3CDTF">2026-06-11T10:49:16Z</dcterms:modified>
</cp:coreProperties>
</file>